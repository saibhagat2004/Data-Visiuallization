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002554E9-7119-46C1-833F-79520A4068E3}" xr6:coauthVersionLast="47" xr6:coauthVersionMax="47" xr10:uidLastSave="{00000000-0000-0000-0000-000000000000}"/>
  <bookViews>
    <workbookView xWindow="-108" yWindow="-108" windowWidth="23256" windowHeight="13176" activeTab="3" xr2:uid="{4DAD3414-420D-47C3-B029-3A01003B7047}"/>
  </bookViews>
  <sheets>
    <sheet name="data" sheetId="1" r:id="rId1"/>
    <sheet name="KPIs" sheetId="2" r:id="rId2"/>
    <sheet name="Pivot" sheetId="3" r:id="rId3"/>
    <sheet name="Flight  Analysis Dashboard" sheetId="7" r:id="rId4"/>
  </sheets>
  <definedNames>
    <definedName name="Slicer_Airline">#N/A</definedName>
    <definedName name="Slicer_Delay_Status">#N/A</definedName>
    <definedName name="Slicer_Destination_City">#N/A</definedName>
    <definedName name="Slicer_Source_C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D2" i="2"/>
  <c r="C2" i="2"/>
  <c r="B2" i="2"/>
  <c r="A2" i="2"/>
  <c r="N13" i="1"/>
  <c r="N2" i="1"/>
  <c r="N3" i="1"/>
  <c r="N4" i="1"/>
  <c r="N5" i="1"/>
  <c r="N6" i="1"/>
  <c r="N7" i="1"/>
  <c r="N8" i="1"/>
  <c r="N9" i="1"/>
  <c r="N10" i="1"/>
  <c r="N11" i="1"/>
  <c r="N12"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alcChain>
</file>

<file path=xl/sharedStrings.xml><?xml version="1.0" encoding="utf-8"?>
<sst xmlns="http://schemas.openxmlformats.org/spreadsheetml/2006/main" count="5482" uniqueCount="639">
  <si>
    <t>Date</t>
  </si>
  <si>
    <t>Airline</t>
  </si>
  <si>
    <t>Flight_Number</t>
  </si>
  <si>
    <t>Source_City</t>
  </si>
  <si>
    <t>Destination_City</t>
  </si>
  <si>
    <t>Departure_Time</t>
  </si>
  <si>
    <t>Stops</t>
  </si>
  <si>
    <t>Arrival_Time</t>
  </si>
  <si>
    <t>Class</t>
  </si>
  <si>
    <t>Duration_Hours</t>
  </si>
  <si>
    <t>Delay_Minutes</t>
  </si>
  <si>
    <t>Delay_Reason</t>
  </si>
  <si>
    <t>Delay_Status</t>
  </si>
  <si>
    <t>IndiGo</t>
  </si>
  <si>
    <t>IN-132</t>
  </si>
  <si>
    <t>Delhi</t>
  </si>
  <si>
    <t>Chennai</t>
  </si>
  <si>
    <t>Morning</t>
  </si>
  <si>
    <t>zero</t>
  </si>
  <si>
    <t>Economy</t>
  </si>
  <si>
    <t>None</t>
  </si>
  <si>
    <t>IN-384</t>
  </si>
  <si>
    <t>Mumbai</t>
  </si>
  <si>
    <t>Bangalore</t>
  </si>
  <si>
    <t>Night</t>
  </si>
  <si>
    <t>Weather</t>
  </si>
  <si>
    <t>IN-199</t>
  </si>
  <si>
    <t>Hyderabad</t>
  </si>
  <si>
    <t>Afternoon</t>
  </si>
  <si>
    <t>SpiceJet</t>
  </si>
  <si>
    <t>SP-982</t>
  </si>
  <si>
    <t>Early_Morning</t>
  </si>
  <si>
    <t>Evening</t>
  </si>
  <si>
    <t>Business</t>
  </si>
  <si>
    <t>Air Traffic</t>
  </si>
  <si>
    <t>AirAsia</t>
  </si>
  <si>
    <t>AI-489</t>
  </si>
  <si>
    <t>one</t>
  </si>
  <si>
    <t>Vistara</t>
  </si>
  <si>
    <t>VI-763</t>
  </si>
  <si>
    <t>Kolkata</t>
  </si>
  <si>
    <t>AI-324</t>
  </si>
  <si>
    <t>SP-680</t>
  </si>
  <si>
    <t>SP-651</t>
  </si>
  <si>
    <t>AI-981</t>
  </si>
  <si>
    <t>Air India</t>
  </si>
  <si>
    <t>AI-666</t>
  </si>
  <si>
    <t>IN-839</t>
  </si>
  <si>
    <t>SP-897</t>
  </si>
  <si>
    <t>AI-999</t>
  </si>
  <si>
    <t>IN-640</t>
  </si>
  <si>
    <t>AI-562</t>
  </si>
  <si>
    <t>Technical</t>
  </si>
  <si>
    <t>AI-160</t>
  </si>
  <si>
    <t>IN-840</t>
  </si>
  <si>
    <t>AI-462</t>
  </si>
  <si>
    <t>VI-294</t>
  </si>
  <si>
    <t>VI-982</t>
  </si>
  <si>
    <t>AI-985</t>
  </si>
  <si>
    <t>IN-902</t>
  </si>
  <si>
    <t>VI-588</t>
  </si>
  <si>
    <t>AI-340</t>
  </si>
  <si>
    <t>IN-833</t>
  </si>
  <si>
    <t>AI-736</t>
  </si>
  <si>
    <t>IN-478</t>
  </si>
  <si>
    <t>AI-237</t>
  </si>
  <si>
    <t>IN-973</t>
  </si>
  <si>
    <t>AI-233</t>
  </si>
  <si>
    <t>SP-954</t>
  </si>
  <si>
    <t>AI-315</t>
  </si>
  <si>
    <t>AI-930</t>
  </si>
  <si>
    <t>VI-139</t>
  </si>
  <si>
    <t>VI-508</t>
  </si>
  <si>
    <t>SP-367</t>
  </si>
  <si>
    <t>AI-623</t>
  </si>
  <si>
    <t>VI-171</t>
  </si>
  <si>
    <t>SP-230</t>
  </si>
  <si>
    <t>VI-315</t>
  </si>
  <si>
    <t>AI-186</t>
  </si>
  <si>
    <t>AI-147</t>
  </si>
  <si>
    <t>VI-804</t>
  </si>
  <si>
    <t>IN-224</t>
  </si>
  <si>
    <t>AI-262</t>
  </si>
  <si>
    <t>VI-340</t>
  </si>
  <si>
    <t>SP-165</t>
  </si>
  <si>
    <t>VI-698</t>
  </si>
  <si>
    <t>IN-852</t>
  </si>
  <si>
    <t>AI-917</t>
  </si>
  <si>
    <t>AI-538</t>
  </si>
  <si>
    <t>VI-488</t>
  </si>
  <si>
    <t>VI-767</t>
  </si>
  <si>
    <t>IN-323</t>
  </si>
  <si>
    <t>SP-419</t>
  </si>
  <si>
    <t>VI-223</t>
  </si>
  <si>
    <t>AI-942</t>
  </si>
  <si>
    <t>IN-651</t>
  </si>
  <si>
    <t>VI-561</t>
  </si>
  <si>
    <t>VI-463</t>
  </si>
  <si>
    <t>SP-600</t>
  </si>
  <si>
    <t>AI-349</t>
  </si>
  <si>
    <t>AI-377</t>
  </si>
  <si>
    <t>SP-383</t>
  </si>
  <si>
    <t>AI-825</t>
  </si>
  <si>
    <t>AI-687</t>
  </si>
  <si>
    <t>VI-510</t>
  </si>
  <si>
    <t>IN-526</t>
  </si>
  <si>
    <t>AI-161</t>
  </si>
  <si>
    <t>IN-518</t>
  </si>
  <si>
    <t>AI-370</t>
  </si>
  <si>
    <t>AI-269</t>
  </si>
  <si>
    <t>SP-378</t>
  </si>
  <si>
    <t>AI-193</t>
  </si>
  <si>
    <t>AI-699</t>
  </si>
  <si>
    <t>VI-437</t>
  </si>
  <si>
    <t>VI-891</t>
  </si>
  <si>
    <t>AI-740</t>
  </si>
  <si>
    <t>IN-745</t>
  </si>
  <si>
    <t>AI-216</t>
  </si>
  <si>
    <t>IN-664</t>
  </si>
  <si>
    <t>VI-619</t>
  </si>
  <si>
    <t>IN-881</t>
  </si>
  <si>
    <t>VI-584</t>
  </si>
  <si>
    <t>VI-550</t>
  </si>
  <si>
    <t>AI-507</t>
  </si>
  <si>
    <t>IN-800</t>
  </si>
  <si>
    <t>SP-915</t>
  </si>
  <si>
    <t>SP-180</t>
  </si>
  <si>
    <t>VI-109</t>
  </si>
  <si>
    <t>VI-806</t>
  </si>
  <si>
    <t>VI-816</t>
  </si>
  <si>
    <t>IN-460</t>
  </si>
  <si>
    <t>AI-849</t>
  </si>
  <si>
    <t>IN-379</t>
  </si>
  <si>
    <t>AI-331</t>
  </si>
  <si>
    <t>VI-788</t>
  </si>
  <si>
    <t>SP-164</t>
  </si>
  <si>
    <t>AI-601</t>
  </si>
  <si>
    <t>VI-476</t>
  </si>
  <si>
    <t>SP-711</t>
  </si>
  <si>
    <t>IN-932</t>
  </si>
  <si>
    <t>AI-987</t>
  </si>
  <si>
    <t>AI-531</t>
  </si>
  <si>
    <t>IN-144</t>
  </si>
  <si>
    <t>AI-554</t>
  </si>
  <si>
    <t>IN-643</t>
  </si>
  <si>
    <t>VI-947</t>
  </si>
  <si>
    <t>VI-585</t>
  </si>
  <si>
    <t>IN-675</t>
  </si>
  <si>
    <t>SP-619</t>
  </si>
  <si>
    <t>AI-539</t>
  </si>
  <si>
    <t>AI-447</t>
  </si>
  <si>
    <t>VI-153</t>
  </si>
  <si>
    <t>AI-873</t>
  </si>
  <si>
    <t>IN-713</t>
  </si>
  <si>
    <t>IN-864</t>
  </si>
  <si>
    <t>AI-570</t>
  </si>
  <si>
    <t>IN-432</t>
  </si>
  <si>
    <t>AI-991</t>
  </si>
  <si>
    <t>SP-938</t>
  </si>
  <si>
    <t>AI-771</t>
  </si>
  <si>
    <t>AI-580</t>
  </si>
  <si>
    <t>SP-951</t>
  </si>
  <si>
    <t>IN-929</t>
  </si>
  <si>
    <t>AI-957</t>
  </si>
  <si>
    <t>IN-389</t>
  </si>
  <si>
    <t>VI-972</t>
  </si>
  <si>
    <t>AI-284</t>
  </si>
  <si>
    <t>AI-652</t>
  </si>
  <si>
    <t>AI-889</t>
  </si>
  <si>
    <t>AI-339</t>
  </si>
  <si>
    <t>AI-528</t>
  </si>
  <si>
    <t>AI-628</t>
  </si>
  <si>
    <t>IN-327</t>
  </si>
  <si>
    <t>VI-128</t>
  </si>
  <si>
    <t>IN-877</t>
  </si>
  <si>
    <t>VI-844</t>
  </si>
  <si>
    <t>AI-912</t>
  </si>
  <si>
    <t>VI-101</t>
  </si>
  <si>
    <t>SP-581</t>
  </si>
  <si>
    <t>VI-852</t>
  </si>
  <si>
    <t>SP-286</t>
  </si>
  <si>
    <t>AI-423</t>
  </si>
  <si>
    <t>IN-495</t>
  </si>
  <si>
    <t>AI-270</t>
  </si>
  <si>
    <t>VI-752</t>
  </si>
  <si>
    <t>SP-760</t>
  </si>
  <si>
    <t>SP-687</t>
  </si>
  <si>
    <t>AI-496</t>
  </si>
  <si>
    <t>AI-973</t>
  </si>
  <si>
    <t>VI-828</t>
  </si>
  <si>
    <t>AI-686</t>
  </si>
  <si>
    <t>VI-519</t>
  </si>
  <si>
    <t>AI-898</t>
  </si>
  <si>
    <t>AI-265</t>
  </si>
  <si>
    <t>AI-729</t>
  </si>
  <si>
    <t>IN-984</t>
  </si>
  <si>
    <t>IN-594</t>
  </si>
  <si>
    <t>VI-721</t>
  </si>
  <si>
    <t>SP-577</t>
  </si>
  <si>
    <t>SP-263</t>
  </si>
  <si>
    <t>SP-502</t>
  </si>
  <si>
    <t>VI-769</t>
  </si>
  <si>
    <t>VI-512</t>
  </si>
  <si>
    <t>IN-561</t>
  </si>
  <si>
    <t>AI-474</t>
  </si>
  <si>
    <t>AI-923</t>
  </si>
  <si>
    <t>AI-731</t>
  </si>
  <si>
    <t>SP-789</t>
  </si>
  <si>
    <t>VI-697</t>
  </si>
  <si>
    <t>AI-551</t>
  </si>
  <si>
    <t>VI-674</t>
  </si>
  <si>
    <t>VI-838</t>
  </si>
  <si>
    <t>SP-806</t>
  </si>
  <si>
    <t>AI-306</t>
  </si>
  <si>
    <t>AI-643</t>
  </si>
  <si>
    <t>AI-663</t>
  </si>
  <si>
    <t>AI-191</t>
  </si>
  <si>
    <t>AI-866</t>
  </si>
  <si>
    <t>SP-605</t>
  </si>
  <si>
    <t>AI-290</t>
  </si>
  <si>
    <t>SP-197</t>
  </si>
  <si>
    <t>AI-409</t>
  </si>
  <si>
    <t>AI-614</t>
  </si>
  <si>
    <t>SP-720</t>
  </si>
  <si>
    <t>VI-640</t>
  </si>
  <si>
    <t>SP-796</t>
  </si>
  <si>
    <t>AI-672</t>
  </si>
  <si>
    <t>SP-452</t>
  </si>
  <si>
    <t>IN-884</t>
  </si>
  <si>
    <t>VI-456</t>
  </si>
  <si>
    <t>AI-574</t>
  </si>
  <si>
    <t>AI-996</t>
  </si>
  <si>
    <t>IN-557</t>
  </si>
  <si>
    <t>IN-396</t>
  </si>
  <si>
    <t>AI-633</t>
  </si>
  <si>
    <t>VI-758</t>
  </si>
  <si>
    <t>AI-361</t>
  </si>
  <si>
    <t>SP-717</t>
  </si>
  <si>
    <t>IN-115</t>
  </si>
  <si>
    <t>AI-646</t>
  </si>
  <si>
    <t>SP-479</t>
  </si>
  <si>
    <t>VI-602</t>
  </si>
  <si>
    <t>AI-959</t>
  </si>
  <si>
    <t>IN-617</t>
  </si>
  <si>
    <t>SP-839</t>
  </si>
  <si>
    <t>AI-734</t>
  </si>
  <si>
    <t>SP-331</t>
  </si>
  <si>
    <t>IN-819</t>
  </si>
  <si>
    <t>IN-808</t>
  </si>
  <si>
    <t>AI-701</t>
  </si>
  <si>
    <t>VI-243</t>
  </si>
  <si>
    <t>IN-887</t>
  </si>
  <si>
    <t>AI-542</t>
  </si>
  <si>
    <t>AI-257</t>
  </si>
  <si>
    <t>AI-376</t>
  </si>
  <si>
    <t>AI-195</t>
  </si>
  <si>
    <t>AI-164</t>
  </si>
  <si>
    <t>VI-607</t>
  </si>
  <si>
    <t>AI-982</t>
  </si>
  <si>
    <t>VI-281</t>
  </si>
  <si>
    <t>SP-677</t>
  </si>
  <si>
    <t>AI-968</t>
  </si>
  <si>
    <t>VI-908</t>
  </si>
  <si>
    <t>IN-468</t>
  </si>
  <si>
    <t>AI-760</t>
  </si>
  <si>
    <t>VI-500</t>
  </si>
  <si>
    <t>AI-187</t>
  </si>
  <si>
    <t>AI-813</t>
  </si>
  <si>
    <t>SP-268</t>
  </si>
  <si>
    <t>AI-744</t>
  </si>
  <si>
    <t>AI-319</t>
  </si>
  <si>
    <t>SP-368</t>
  </si>
  <si>
    <t>VI-933</t>
  </si>
  <si>
    <t>SP-810</t>
  </si>
  <si>
    <t>AI-467</t>
  </si>
  <si>
    <t>IN-554</t>
  </si>
  <si>
    <t>AI-272</t>
  </si>
  <si>
    <t>VI-142</t>
  </si>
  <si>
    <t>IN-933</t>
  </si>
  <si>
    <t>IN-978</t>
  </si>
  <si>
    <t>IN-948</t>
  </si>
  <si>
    <t>VI-887</t>
  </si>
  <si>
    <t>VI-967</t>
  </si>
  <si>
    <t>IN-430</t>
  </si>
  <si>
    <t>SP-741</t>
  </si>
  <si>
    <t>VI-235</t>
  </si>
  <si>
    <t>SP-740</t>
  </si>
  <si>
    <t>AI-631</t>
  </si>
  <si>
    <t>VI-191</t>
  </si>
  <si>
    <t>IN-793</t>
  </si>
  <si>
    <t>IN-255</t>
  </si>
  <si>
    <t>VI-493</t>
  </si>
  <si>
    <t>SP-912</t>
  </si>
  <si>
    <t>VI-959</t>
  </si>
  <si>
    <t>VI-320</t>
  </si>
  <si>
    <t>IN-650</t>
  </si>
  <si>
    <t>AI-881</t>
  </si>
  <si>
    <t>IN-723</t>
  </si>
  <si>
    <t>SP-901</t>
  </si>
  <si>
    <t>SP-369</t>
  </si>
  <si>
    <t>IN-583</t>
  </si>
  <si>
    <t>VI-837</t>
  </si>
  <si>
    <t>SP-170</t>
  </si>
  <si>
    <t>VI-903</t>
  </si>
  <si>
    <t>AI-519</t>
  </si>
  <si>
    <t>AI-343</t>
  </si>
  <si>
    <t>VI-569</t>
  </si>
  <si>
    <t>IN-233</t>
  </si>
  <si>
    <t>SP-307</t>
  </si>
  <si>
    <t>AI-888</t>
  </si>
  <si>
    <t>VI-141</t>
  </si>
  <si>
    <t>SP-278</t>
  </si>
  <si>
    <t>VI-163</t>
  </si>
  <si>
    <t>AI-166</t>
  </si>
  <si>
    <t>VI-543</t>
  </si>
  <si>
    <t>VI-556</t>
  </si>
  <si>
    <t>AI-189</t>
  </si>
  <si>
    <t>VI-596</t>
  </si>
  <si>
    <t>SP-372</t>
  </si>
  <si>
    <t>IN-705</t>
  </si>
  <si>
    <t>SP-192</t>
  </si>
  <si>
    <t>AI-448</t>
  </si>
  <si>
    <t>AI-778</t>
  </si>
  <si>
    <t>AI-764</t>
  </si>
  <si>
    <t>AI-230</t>
  </si>
  <si>
    <t>IN-679</t>
  </si>
  <si>
    <t>VI-786</t>
  </si>
  <si>
    <t>SP-149</t>
  </si>
  <si>
    <t>VI-907</t>
  </si>
  <si>
    <t>AI-207</t>
  </si>
  <si>
    <t>SP-769</t>
  </si>
  <si>
    <t>AI-847</t>
  </si>
  <si>
    <t>SP-103</t>
  </si>
  <si>
    <t>IN-183</t>
  </si>
  <si>
    <t>IN-490</t>
  </si>
  <si>
    <t>AI-870</t>
  </si>
  <si>
    <t>IN-648</t>
  </si>
  <si>
    <t>VI-629</t>
  </si>
  <si>
    <t>AI-229</t>
  </si>
  <si>
    <t>VI-669</t>
  </si>
  <si>
    <t>AI-702</t>
  </si>
  <si>
    <t>IN-863</t>
  </si>
  <si>
    <t>SP-989</t>
  </si>
  <si>
    <t>AI-516</t>
  </si>
  <si>
    <t>VI-636</t>
  </si>
  <si>
    <t>AI-821</t>
  </si>
  <si>
    <t>SP-281</t>
  </si>
  <si>
    <t>VI-495</t>
  </si>
  <si>
    <t>AI-899</t>
  </si>
  <si>
    <t>IN-758</t>
  </si>
  <si>
    <t>VI-623</t>
  </si>
  <si>
    <t>SP-921</t>
  </si>
  <si>
    <t>AI-136</t>
  </si>
  <si>
    <t>AI-997</t>
  </si>
  <si>
    <t>AI-463</t>
  </si>
  <si>
    <t>SP-987</t>
  </si>
  <si>
    <t>AI-155</t>
  </si>
  <si>
    <t>AI-599</t>
  </si>
  <si>
    <t>IN-304</t>
  </si>
  <si>
    <t>SP-998</t>
  </si>
  <si>
    <t>SP-397</t>
  </si>
  <si>
    <t>AI-268</t>
  </si>
  <si>
    <t>IN-120</t>
  </si>
  <si>
    <t>IN-802</t>
  </si>
  <si>
    <t>IN-732</t>
  </si>
  <si>
    <t>SP-519</t>
  </si>
  <si>
    <t>IN-403</t>
  </si>
  <si>
    <t>VI-197</t>
  </si>
  <si>
    <t>IN-934</t>
  </si>
  <si>
    <t>AI-916</t>
  </si>
  <si>
    <t>IN-897</t>
  </si>
  <si>
    <t>AI-770</t>
  </si>
  <si>
    <t>IN-844</t>
  </si>
  <si>
    <t>VI-580</t>
  </si>
  <si>
    <t>VI-663</t>
  </si>
  <si>
    <t>VI-609</t>
  </si>
  <si>
    <t>IN-770</t>
  </si>
  <si>
    <t>VI-833</t>
  </si>
  <si>
    <t>IN-268</t>
  </si>
  <si>
    <t>AI-900</t>
  </si>
  <si>
    <t>SP-104</t>
  </si>
  <si>
    <t>IN-773</t>
  </si>
  <si>
    <t>AI-236</t>
  </si>
  <si>
    <t>VI-397</t>
  </si>
  <si>
    <t>SP-684</t>
  </si>
  <si>
    <t>VI-157</t>
  </si>
  <si>
    <t>SP-563</t>
  </si>
  <si>
    <t>AI-490</t>
  </si>
  <si>
    <t>VI-821</t>
  </si>
  <si>
    <t>SP-176</t>
  </si>
  <si>
    <t>AI-966</t>
  </si>
  <si>
    <t>IN-740</t>
  </si>
  <si>
    <t>SP-633</t>
  </si>
  <si>
    <t>AI-779</t>
  </si>
  <si>
    <t>SP-757</t>
  </si>
  <si>
    <t>AI-941</t>
  </si>
  <si>
    <t>SP-184</t>
  </si>
  <si>
    <t>IN-534</t>
  </si>
  <si>
    <t>IN-155</t>
  </si>
  <si>
    <t>SP-423</t>
  </si>
  <si>
    <t>VI-614</t>
  </si>
  <si>
    <t>SP-260</t>
  </si>
  <si>
    <t>AI-668</t>
  </si>
  <si>
    <t>IN-843</t>
  </si>
  <si>
    <t>AI-787</t>
  </si>
  <si>
    <t>AI-302</t>
  </si>
  <si>
    <t>AI-425</t>
  </si>
  <si>
    <t>VI-420</t>
  </si>
  <si>
    <t>AI-893</t>
  </si>
  <si>
    <t>VI-301</t>
  </si>
  <si>
    <t>AI-622</t>
  </si>
  <si>
    <t>VI-679</t>
  </si>
  <si>
    <t>SP-955</t>
  </si>
  <si>
    <t>AI-718</t>
  </si>
  <si>
    <t>AI-470</t>
  </si>
  <si>
    <t>IN-265</t>
  </si>
  <si>
    <t>VI-250</t>
  </si>
  <si>
    <t>AI-582</t>
  </si>
  <si>
    <t>VI-450</t>
  </si>
  <si>
    <t>VI-635</t>
  </si>
  <si>
    <t>AI-644</t>
  </si>
  <si>
    <t>IN-814</t>
  </si>
  <si>
    <t>VI-979</t>
  </si>
  <si>
    <t>SP-220</t>
  </si>
  <si>
    <t>IN-367</t>
  </si>
  <si>
    <t>AI-902</t>
  </si>
  <si>
    <t>VI-241</t>
  </si>
  <si>
    <t>IN-728</t>
  </si>
  <si>
    <t>IN-549</t>
  </si>
  <si>
    <t>AI-468</t>
  </si>
  <si>
    <t>IN-854</t>
  </si>
  <si>
    <t>IN-299</t>
  </si>
  <si>
    <t>VI-448</t>
  </si>
  <si>
    <t>IN-894</t>
  </si>
  <si>
    <t>VI-335</t>
  </si>
  <si>
    <t>SP-866</t>
  </si>
  <si>
    <t>SP-799</t>
  </si>
  <si>
    <t>AI-956</t>
  </si>
  <si>
    <t>SP-480</t>
  </si>
  <si>
    <t>SP-231</t>
  </si>
  <si>
    <t>AI-223</t>
  </si>
  <si>
    <t>AI-727</t>
  </si>
  <si>
    <t>SP-534</t>
  </si>
  <si>
    <t>VI-802</t>
  </si>
  <si>
    <t>IN-856</t>
  </si>
  <si>
    <t>IN-442</t>
  </si>
  <si>
    <t>SP-795</t>
  </si>
  <si>
    <t>AI-180</t>
  </si>
  <si>
    <t>AI-451</t>
  </si>
  <si>
    <t>VI-506</t>
  </si>
  <si>
    <t>IN-958</t>
  </si>
  <si>
    <t>SP-580</t>
  </si>
  <si>
    <t>IN-107</t>
  </si>
  <si>
    <t>SP-181</t>
  </si>
  <si>
    <t>AI-396</t>
  </si>
  <si>
    <t>VI-647</t>
  </si>
  <si>
    <t>AI-605</t>
  </si>
  <si>
    <t>SP-249</t>
  </si>
  <si>
    <t>SP-224</t>
  </si>
  <si>
    <t>AI-313</t>
  </si>
  <si>
    <t>VI-469</t>
  </si>
  <si>
    <t>IN-698</t>
  </si>
  <si>
    <t>VI-611</t>
  </si>
  <si>
    <t>AI-671</t>
  </si>
  <si>
    <t>SP-548</t>
  </si>
  <si>
    <t>SP-713</t>
  </si>
  <si>
    <t>AI-100</t>
  </si>
  <si>
    <t>AI-651</t>
  </si>
  <si>
    <t>VI-198</t>
  </si>
  <si>
    <t>IN-684</t>
  </si>
  <si>
    <t>VI-172</t>
  </si>
  <si>
    <t>AI-159</t>
  </si>
  <si>
    <t>AI-336</t>
  </si>
  <si>
    <t>VI-690</t>
  </si>
  <si>
    <t>VI-714</t>
  </si>
  <si>
    <t>SP-658</t>
  </si>
  <si>
    <t>VI-710</t>
  </si>
  <si>
    <t>AI-806</t>
  </si>
  <si>
    <t>SP-371</t>
  </si>
  <si>
    <t>AI-840</t>
  </si>
  <si>
    <t>VI-889</t>
  </si>
  <si>
    <t>SP-652</t>
  </si>
  <si>
    <t>VI-613</t>
  </si>
  <si>
    <t>AI-853</t>
  </si>
  <si>
    <t>AI-295</t>
  </si>
  <si>
    <t>SP-937</t>
  </si>
  <si>
    <t>AI-939</t>
  </si>
  <si>
    <t>IN-316</t>
  </si>
  <si>
    <t>AI-972</t>
  </si>
  <si>
    <t>SP-596</t>
  </si>
  <si>
    <t>AI-412</t>
  </si>
  <si>
    <t>IN-189</t>
  </si>
  <si>
    <t>VI-655</t>
  </si>
  <si>
    <t>AI-883</t>
  </si>
  <si>
    <t>VI-880</t>
  </si>
  <si>
    <t>AI-804</t>
  </si>
  <si>
    <t>VI-267</t>
  </si>
  <si>
    <t>AI-167</t>
  </si>
  <si>
    <t>VI-944</t>
  </si>
  <si>
    <t>SP-351</t>
  </si>
  <si>
    <t>AI-892</t>
  </si>
  <si>
    <t>SP-215</t>
  </si>
  <si>
    <t>AI-704</t>
  </si>
  <si>
    <t>AI-749</t>
  </si>
  <si>
    <t>IN-443</t>
  </si>
  <si>
    <t>AI-220</t>
  </si>
  <si>
    <t>AI-722</t>
  </si>
  <si>
    <t>VI-106</t>
  </si>
  <si>
    <t>AI-137</t>
  </si>
  <si>
    <t>IN-282</t>
  </si>
  <si>
    <t>SP-406</t>
  </si>
  <si>
    <t>SP-980</t>
  </si>
  <si>
    <t>SP-805</t>
  </si>
  <si>
    <t>SP-609</t>
  </si>
  <si>
    <t>AI-855</t>
  </si>
  <si>
    <t>SP-682</t>
  </si>
  <si>
    <t>IN-593</t>
  </si>
  <si>
    <t>VI-313</t>
  </si>
  <si>
    <t>SP-498</t>
  </si>
  <si>
    <t>AI-949</t>
  </si>
  <si>
    <t>SP-194</t>
  </si>
  <si>
    <t>AI-992</t>
  </si>
  <si>
    <t>AI-145</t>
  </si>
  <si>
    <t>AI-428</t>
  </si>
  <si>
    <t>AI-217</t>
  </si>
  <si>
    <t>AI-791</t>
  </si>
  <si>
    <t>IN-440</t>
  </si>
  <si>
    <t>AI-800</t>
  </si>
  <si>
    <t>VI-781</t>
  </si>
  <si>
    <t>SP-389</t>
  </si>
  <si>
    <t>SP-765</t>
  </si>
  <si>
    <t>SP-593</t>
  </si>
  <si>
    <t>IN-785</t>
  </si>
  <si>
    <t>AI-280</t>
  </si>
  <si>
    <t>VI-936</t>
  </si>
  <si>
    <t>AI-998</t>
  </si>
  <si>
    <t>SP-163</t>
  </si>
  <si>
    <t>AI-819</t>
  </si>
  <si>
    <t>VI-586</t>
  </si>
  <si>
    <t>AI-173</t>
  </si>
  <si>
    <t>IN-812</t>
  </si>
  <si>
    <t>VI-719</t>
  </si>
  <si>
    <t>IN-724</t>
  </si>
  <si>
    <t>AI-711</t>
  </si>
  <si>
    <t>SP-398</t>
  </si>
  <si>
    <t>AI-387</t>
  </si>
  <si>
    <t>SP-817</t>
  </si>
  <si>
    <t>VI-870</t>
  </si>
  <si>
    <t>VI-575</t>
  </si>
  <si>
    <t>VI-545</t>
  </si>
  <si>
    <t>SP-767</t>
  </si>
  <si>
    <t>SP-702</t>
  </si>
  <si>
    <t>AI-200</t>
  </si>
  <si>
    <t>IN-194</t>
  </si>
  <si>
    <t>AI-882</t>
  </si>
  <si>
    <t>AI-383</t>
  </si>
  <si>
    <t>VI-440</t>
  </si>
  <si>
    <t>SP-211</t>
  </si>
  <si>
    <t>AI-685</t>
  </si>
  <si>
    <t>SP-437</t>
  </si>
  <si>
    <t>VI-103</t>
  </si>
  <si>
    <t>VI-762</t>
  </si>
  <si>
    <t>SP-776</t>
  </si>
  <si>
    <t>SP-136</t>
  </si>
  <si>
    <t>IN-954</t>
  </si>
  <si>
    <t>AI-119</t>
  </si>
  <si>
    <t>AI-274</t>
  </si>
  <si>
    <t>VI-707</t>
  </si>
  <si>
    <t>SP-349</t>
  </si>
  <si>
    <t>AI-283</t>
  </si>
  <si>
    <t>IN-635</t>
  </si>
  <si>
    <t>VI-901</t>
  </si>
  <si>
    <t>SP-983</t>
  </si>
  <si>
    <t>AI-801</t>
  </si>
  <si>
    <t>VI-442</t>
  </si>
  <si>
    <t>VI-218</t>
  </si>
  <si>
    <t>AI-433</t>
  </si>
  <si>
    <t>IN-248</t>
  </si>
  <si>
    <t>SP-878</t>
  </si>
  <si>
    <t>AI-321</t>
  </si>
  <si>
    <t>VI-705</t>
  </si>
  <si>
    <t>AI-503</t>
  </si>
  <si>
    <t>IN-344</t>
  </si>
  <si>
    <t>IN-515</t>
  </si>
  <si>
    <t>SP-870</t>
  </si>
  <si>
    <t>AI-481</t>
  </si>
  <si>
    <t>VI-928</t>
  </si>
  <si>
    <t>IN-382</t>
  </si>
  <si>
    <t>AI-530</t>
  </si>
  <si>
    <t>IN-434</t>
  </si>
  <si>
    <t>AI-413</t>
  </si>
  <si>
    <t>SP-733</t>
  </si>
  <si>
    <t>AI-424</t>
  </si>
  <si>
    <t>AI-559</t>
  </si>
  <si>
    <t>AI-427</t>
  </si>
  <si>
    <t>IN-918</t>
  </si>
  <si>
    <t>Route</t>
  </si>
  <si>
    <t>Total Flights</t>
  </si>
  <si>
    <t>Avg Delay</t>
  </si>
  <si>
    <t>On Time Flights</t>
  </si>
  <si>
    <t>Delayed Flights</t>
  </si>
  <si>
    <t>On Time %</t>
  </si>
  <si>
    <t>Row Labels</t>
  </si>
  <si>
    <t>Grand Total</t>
  </si>
  <si>
    <t>Count of Flight_Number</t>
  </si>
  <si>
    <t>Delayed</t>
  </si>
  <si>
    <t>On Time</t>
  </si>
  <si>
    <t>Bangalore → Chennai</t>
  </si>
  <si>
    <t>Bangalore → Delhi</t>
  </si>
  <si>
    <t>Bangalore → Hyderabad</t>
  </si>
  <si>
    <t>Bangalore → Kolkata</t>
  </si>
  <si>
    <t>Bangalore → Mumbai</t>
  </si>
  <si>
    <t>Chennai → Bangalore</t>
  </si>
  <si>
    <t>Chennai → Delhi</t>
  </si>
  <si>
    <t>Chennai → Hyderabad</t>
  </si>
  <si>
    <t>Chennai → Kolkata</t>
  </si>
  <si>
    <t>Chennai → Mumbai</t>
  </si>
  <si>
    <t>Delhi → Bangalore</t>
  </si>
  <si>
    <t>Delhi → Chennai</t>
  </si>
  <si>
    <t>Delhi → Hyderabad</t>
  </si>
  <si>
    <t>Delhi → Kolkata</t>
  </si>
  <si>
    <t>Delhi → Mumbai</t>
  </si>
  <si>
    <t>Hyderabad → Bangalore</t>
  </si>
  <si>
    <t>Hyderabad → Chennai</t>
  </si>
  <si>
    <t>Hyderabad → Delhi</t>
  </si>
  <si>
    <t>Hyderabad → Kolkata</t>
  </si>
  <si>
    <t>Hyderabad → Mumbai</t>
  </si>
  <si>
    <t>Kolkata → Bangalore</t>
  </si>
  <si>
    <t>Kolkata → Chennai</t>
  </si>
  <si>
    <t>Kolkata → Delhi</t>
  </si>
  <si>
    <t>Kolkata → Hyderabad</t>
  </si>
  <si>
    <t>Kolkata → Mumbai</t>
  </si>
  <si>
    <t>Mumbai → Bangalore</t>
  </si>
  <si>
    <t>Mumbai → Chennai</t>
  </si>
  <si>
    <t>Mumbai → Delhi</t>
  </si>
  <si>
    <t>Mumbai → Hyderabad</t>
  </si>
  <si>
    <t>Mumbai → Kolkata</t>
  </si>
  <si>
    <t>Average of Delay_Minutes</t>
  </si>
  <si>
    <t>Flight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</si>
</sst>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Unicode MS"/>
    </font>
    <font>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vertical="center" wrapText="1"/>
    </xf>
    <xf numFmtId="0" fontId="18" fillId="0" borderId="0" xfId="0" applyFont="1" applyAlignment="1">
      <alignment vertical="center"/>
    </xf>
    <xf numFmtId="0" fontId="18" fillId="0" borderId="0" xfId="0" applyFont="1"/>
    <xf numFmtId="0" fontId="0" fillId="0" borderId="0" xfId="0" pivotButton="1"/>
    <xf numFmtId="0" fontId="0" fillId="0" borderId="0" xfId="0" applyAlignment="1">
      <alignment horizontal="left"/>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[data.csv.xlsx]Pivot!PivotTable3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69203849518809"/>
          <c:y val="0.37800488480606592"/>
          <c:w val="0.77378980752405946"/>
          <c:h val="0.53774387576552929"/>
        </c:manualLayout>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Pivot!$A$2:$A$7</c:f>
              <c:strCache>
                <c:ptCount val="5"/>
                <c:pt idx="0">
                  <c:v>Air India</c:v>
                </c:pt>
                <c:pt idx="1">
                  <c:v>AirAsia</c:v>
                </c:pt>
                <c:pt idx="2">
                  <c:v>IndiGo</c:v>
                </c:pt>
                <c:pt idx="3">
                  <c:v>SpiceJet</c:v>
                </c:pt>
                <c:pt idx="4">
                  <c:v>Vistara</c:v>
                </c:pt>
              </c:strCache>
            </c:strRef>
          </c:cat>
          <c:val>
            <c:numRef>
              <c:f>Pivot!$B$2:$B$7</c:f>
              <c:numCache>
                <c:formatCode>General</c:formatCode>
                <c:ptCount val="5"/>
                <c:pt idx="0">
                  <c:v>53</c:v>
                </c:pt>
                <c:pt idx="1">
                  <c:v>65</c:v>
                </c:pt>
                <c:pt idx="2">
                  <c:v>60</c:v>
                </c:pt>
                <c:pt idx="3">
                  <c:v>61</c:v>
                </c:pt>
                <c:pt idx="4">
                  <c:v>66</c:v>
                </c:pt>
              </c:numCache>
            </c:numRef>
          </c:val>
          <c:extLst>
            <c:ext xmlns:c16="http://schemas.microsoft.com/office/drawing/2014/chart" uri="{C3380CC4-5D6E-409C-BE32-E72D297353CC}">
              <c16:uniqueId val="{00000000-AD25-4C0E-B637-BBC8657A92FE}"/>
            </c:ext>
          </c:extLst>
        </c:ser>
        <c:dLbls>
          <c:showLegendKey val="0"/>
          <c:showVal val="0"/>
          <c:showCatName val="0"/>
          <c:showSerName val="0"/>
          <c:showPercent val="0"/>
          <c:showBubbleSize val="0"/>
        </c:dLbls>
        <c:gapWidth val="219"/>
        <c:overlap val="-27"/>
        <c:axId val="884014911"/>
        <c:axId val="884016351"/>
      </c:barChart>
      <c:catAx>
        <c:axId val="88401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16351"/>
        <c:crosses val="autoZero"/>
        <c:auto val="1"/>
        <c:lblAlgn val="ctr"/>
        <c:lblOffset val="100"/>
        <c:noMultiLvlLbl val="0"/>
      </c:catAx>
      <c:valAx>
        <c:axId val="8840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1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[data.csv.xlsx]Pivot!PivotTable5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Pivot!$D$1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D4-49D0-9B77-73705D83101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D4-49D0-9B77-73705D831015}"/>
              </c:ext>
            </c:extLst>
          </c:dPt>
          <c:cat>
            <c:strRef>
              <c:f>Pivot!$C$2:$C$4</c:f>
              <c:strCache>
                <c:ptCount val="2"/>
                <c:pt idx="0">
                  <c:v>Delayed</c:v>
                </c:pt>
                <c:pt idx="1">
                  <c:v>On Time</c:v>
                </c:pt>
              </c:strCache>
            </c:strRef>
          </c:cat>
          <c:val>
            <c:numRef>
              <c:f>Pivot!$D$2:$D$4</c:f>
              <c:numCache>
                <c:formatCode>General</c:formatCode>
                <c:ptCount val="2"/>
                <c:pt idx="0">
                  <c:v>305</c:v>
                </c:pt>
                <c:pt idx="1">
                  <c:v>295</c:v>
                </c:pt>
              </c:numCache>
            </c:numRef>
          </c:val>
          <c:extLst>
            <c:ext xmlns:c16="http://schemas.microsoft.com/office/drawing/2014/chart" uri="{C3380CC4-5D6E-409C-BE32-E72D297353CC}">
              <c16:uniqueId val="{00000004-E1D4-49D0-9B77-73705D83101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[data.csv.xlsx]Pivot!PivotTable6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c:f>
              <c:strCache>
                <c:ptCount val="1"/>
                <c:pt idx="0">
                  <c:v>Total</c:v>
                </c:pt>
              </c:strCache>
            </c:strRef>
          </c:tx>
          <c:spPr>
            <a:solidFill>
              <a:schemeClr val="accent1"/>
            </a:solidFill>
            <a:ln>
              <a:noFill/>
            </a:ln>
            <a:effectLst/>
          </c:spPr>
          <c:invertIfNegative val="0"/>
          <c:cat>
            <c:strRef>
              <c:f>Pivot!$E$2:$E$32</c:f>
              <c:strCache>
                <c:ptCount val="30"/>
                <c:pt idx="0">
                  <c:v>Mumbai → Hyderabad</c:v>
                </c:pt>
                <c:pt idx="1">
                  <c:v>Hyderabad → Kolkata</c:v>
                </c:pt>
                <c:pt idx="2">
                  <c:v>Chennai → Bangalore</c:v>
                </c:pt>
                <c:pt idx="3">
                  <c:v>Kolkata → Chennai</c:v>
                </c:pt>
                <c:pt idx="4">
                  <c:v>Bangalore → Kolkata</c:v>
                </c:pt>
                <c:pt idx="5">
                  <c:v>Bangalore → Hyderabad</c:v>
                </c:pt>
                <c:pt idx="6">
                  <c:v>Delhi → Chennai</c:v>
                </c:pt>
                <c:pt idx="7">
                  <c:v>Hyderabad → Bangalore</c:v>
                </c:pt>
                <c:pt idx="8">
                  <c:v>Bangalore → Delhi</c:v>
                </c:pt>
                <c:pt idx="9">
                  <c:v>Hyderabad → Mumbai</c:v>
                </c:pt>
                <c:pt idx="10">
                  <c:v>Chennai → Mumbai</c:v>
                </c:pt>
                <c:pt idx="11">
                  <c:v>Chennai → Delhi</c:v>
                </c:pt>
                <c:pt idx="12">
                  <c:v>Delhi → Kolkata</c:v>
                </c:pt>
                <c:pt idx="13">
                  <c:v>Hyderabad → Chennai</c:v>
                </c:pt>
                <c:pt idx="14">
                  <c:v>Kolkata → Bangalore</c:v>
                </c:pt>
                <c:pt idx="15">
                  <c:v>Kolkata → Hyderabad</c:v>
                </c:pt>
                <c:pt idx="16">
                  <c:v>Mumbai → Delhi</c:v>
                </c:pt>
                <c:pt idx="17">
                  <c:v>Bangalore → Chennai</c:v>
                </c:pt>
                <c:pt idx="18">
                  <c:v>Mumbai → Kolkata</c:v>
                </c:pt>
                <c:pt idx="19">
                  <c:v>Delhi → Bangalore</c:v>
                </c:pt>
                <c:pt idx="20">
                  <c:v>Chennai → Hyderabad</c:v>
                </c:pt>
                <c:pt idx="21">
                  <c:v>Mumbai → Chennai</c:v>
                </c:pt>
                <c:pt idx="22">
                  <c:v>Kolkata → Mumbai</c:v>
                </c:pt>
                <c:pt idx="23">
                  <c:v>Chennai → Kolkata</c:v>
                </c:pt>
                <c:pt idx="24">
                  <c:v>Kolkata → Delhi</c:v>
                </c:pt>
                <c:pt idx="25">
                  <c:v>Mumbai → Bangalore</c:v>
                </c:pt>
                <c:pt idx="26">
                  <c:v>Delhi → Hyderabad</c:v>
                </c:pt>
                <c:pt idx="27">
                  <c:v>Bangalore → Mumbai</c:v>
                </c:pt>
                <c:pt idx="28">
                  <c:v>Hyderabad → Delhi</c:v>
                </c:pt>
                <c:pt idx="29">
                  <c:v>Delhi → Mumbai</c:v>
                </c:pt>
              </c:strCache>
            </c:strRef>
          </c:cat>
          <c:val>
            <c:numRef>
              <c:f>Pivot!$F$2:$F$32</c:f>
              <c:numCache>
                <c:formatCode>General</c:formatCode>
                <c:ptCount val="30"/>
                <c:pt idx="0">
                  <c:v>17</c:v>
                </c:pt>
                <c:pt idx="1">
                  <c:v>16</c:v>
                </c:pt>
                <c:pt idx="2">
                  <c:v>14</c:v>
                </c:pt>
                <c:pt idx="3">
                  <c:v>14</c:v>
                </c:pt>
                <c:pt idx="4">
                  <c:v>14</c:v>
                </c:pt>
                <c:pt idx="5">
                  <c:v>14</c:v>
                </c:pt>
                <c:pt idx="6">
                  <c:v>13</c:v>
                </c:pt>
                <c:pt idx="7">
                  <c:v>13</c:v>
                </c:pt>
                <c:pt idx="8">
                  <c:v>12</c:v>
                </c:pt>
                <c:pt idx="9">
                  <c:v>12</c:v>
                </c:pt>
                <c:pt idx="10">
                  <c:v>11</c:v>
                </c:pt>
                <c:pt idx="11">
                  <c:v>11</c:v>
                </c:pt>
                <c:pt idx="12">
                  <c:v>11</c:v>
                </c:pt>
                <c:pt idx="13">
                  <c:v>10</c:v>
                </c:pt>
                <c:pt idx="14">
                  <c:v>10</c:v>
                </c:pt>
                <c:pt idx="15">
                  <c:v>10</c:v>
                </c:pt>
                <c:pt idx="16">
                  <c:v>10</c:v>
                </c:pt>
                <c:pt idx="17">
                  <c:v>10</c:v>
                </c:pt>
                <c:pt idx="18">
                  <c:v>9</c:v>
                </c:pt>
                <c:pt idx="19">
                  <c:v>9</c:v>
                </c:pt>
                <c:pt idx="20">
                  <c:v>8</c:v>
                </c:pt>
                <c:pt idx="21">
                  <c:v>8</c:v>
                </c:pt>
                <c:pt idx="22">
                  <c:v>8</c:v>
                </c:pt>
                <c:pt idx="23">
                  <c:v>8</c:v>
                </c:pt>
                <c:pt idx="24">
                  <c:v>7</c:v>
                </c:pt>
                <c:pt idx="25">
                  <c:v>7</c:v>
                </c:pt>
                <c:pt idx="26">
                  <c:v>6</c:v>
                </c:pt>
                <c:pt idx="27">
                  <c:v>5</c:v>
                </c:pt>
                <c:pt idx="28">
                  <c:v>4</c:v>
                </c:pt>
                <c:pt idx="29">
                  <c:v>4</c:v>
                </c:pt>
              </c:numCache>
            </c:numRef>
          </c:val>
          <c:extLst>
            <c:ext xmlns:c16="http://schemas.microsoft.com/office/drawing/2014/chart" uri="{C3380CC4-5D6E-409C-BE32-E72D297353CC}">
              <c16:uniqueId val="{00000000-036C-463D-B7D0-CDCB690AC58D}"/>
            </c:ext>
          </c:extLst>
        </c:ser>
        <c:dLbls>
          <c:showLegendKey val="0"/>
          <c:showVal val="0"/>
          <c:showCatName val="0"/>
          <c:showSerName val="0"/>
          <c:showPercent val="0"/>
          <c:showBubbleSize val="0"/>
        </c:dLbls>
        <c:gapWidth val="182"/>
        <c:axId val="897402287"/>
        <c:axId val="897402767"/>
      </c:barChart>
      <c:catAx>
        <c:axId val="897402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402767"/>
        <c:crosses val="autoZero"/>
        <c:auto val="1"/>
        <c:lblAlgn val="ctr"/>
        <c:lblOffset val="100"/>
        <c:noMultiLvlLbl val="0"/>
      </c:catAx>
      <c:valAx>
        <c:axId val="89740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4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[data.csv.xlsx]Pivot!PivotTable7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accent1"/>
            </a:solidFill>
            <a:ln>
              <a:noFill/>
            </a:ln>
            <a:effectLst/>
          </c:spPr>
          <c:invertIfNegative val="0"/>
          <c:cat>
            <c:strRef>
              <c:f>Pivot!$H$2:$H$7</c:f>
              <c:strCache>
                <c:ptCount val="5"/>
                <c:pt idx="0">
                  <c:v>Air India</c:v>
                </c:pt>
                <c:pt idx="1">
                  <c:v>AirAsia</c:v>
                </c:pt>
                <c:pt idx="2">
                  <c:v>IndiGo</c:v>
                </c:pt>
                <c:pt idx="3">
                  <c:v>SpiceJet</c:v>
                </c:pt>
                <c:pt idx="4">
                  <c:v>Vistara</c:v>
                </c:pt>
              </c:strCache>
            </c:strRef>
          </c:cat>
          <c:val>
            <c:numRef>
              <c:f>Pivot!$I$2:$I$7</c:f>
              <c:numCache>
                <c:formatCode>General</c:formatCode>
                <c:ptCount val="5"/>
                <c:pt idx="0">
                  <c:v>59.962264150943398</c:v>
                </c:pt>
                <c:pt idx="1">
                  <c:v>60.892307692307689</c:v>
                </c:pt>
                <c:pt idx="2">
                  <c:v>81.783333333333331</c:v>
                </c:pt>
                <c:pt idx="3">
                  <c:v>57.098360655737707</c:v>
                </c:pt>
                <c:pt idx="4">
                  <c:v>68.090909090909093</c:v>
                </c:pt>
              </c:numCache>
            </c:numRef>
          </c:val>
          <c:extLst>
            <c:ext xmlns:c16="http://schemas.microsoft.com/office/drawing/2014/chart" uri="{C3380CC4-5D6E-409C-BE32-E72D297353CC}">
              <c16:uniqueId val="{00000000-B42E-4471-AADA-EAA3D8E488D7}"/>
            </c:ext>
          </c:extLst>
        </c:ser>
        <c:dLbls>
          <c:showLegendKey val="0"/>
          <c:showVal val="0"/>
          <c:showCatName val="0"/>
          <c:showSerName val="0"/>
          <c:showPercent val="0"/>
          <c:showBubbleSize val="0"/>
        </c:dLbls>
        <c:gapWidth val="219"/>
        <c:overlap val="-27"/>
        <c:axId val="888631327"/>
        <c:axId val="888632767"/>
      </c:barChart>
      <c:catAx>
        <c:axId val="88863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32767"/>
        <c:crosses val="autoZero"/>
        <c:auto val="1"/>
        <c:lblAlgn val="ctr"/>
        <c:lblOffset val="100"/>
        <c:noMultiLvlLbl val="0"/>
      </c:catAx>
      <c:valAx>
        <c:axId val="88863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3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[data.csv.xlsx]Pivot!PivotTable9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920384951881E-2"/>
          <c:y val="0.26328484981044037"/>
          <c:w val="0.77378980752405946"/>
          <c:h val="0.53774387576552929"/>
        </c:manualLayout>
      </c:layout>
      <c:barChart>
        <c:barDir val="col"/>
        <c:grouping val="clustered"/>
        <c:varyColors val="0"/>
        <c:ser>
          <c:idx val="0"/>
          <c:order val="0"/>
          <c:tx>
            <c:strRef>
              <c:f>Pivot!$I$10</c:f>
              <c:strCache>
                <c:ptCount val="1"/>
                <c:pt idx="0">
                  <c:v>Total</c:v>
                </c:pt>
              </c:strCache>
            </c:strRef>
          </c:tx>
          <c:spPr>
            <a:solidFill>
              <a:schemeClr val="accent1"/>
            </a:solidFill>
            <a:ln>
              <a:noFill/>
            </a:ln>
            <a:effectLst/>
          </c:spPr>
          <c:invertIfNegative val="0"/>
          <c:cat>
            <c:strRef>
              <c:f>Pivot!$H$11:$H$16</c:f>
              <c:strCache>
                <c:ptCount val="5"/>
                <c:pt idx="0">
                  <c:v>Afternoon</c:v>
                </c:pt>
                <c:pt idx="1">
                  <c:v>Early_Morning</c:v>
                </c:pt>
                <c:pt idx="2">
                  <c:v>Evening</c:v>
                </c:pt>
                <c:pt idx="3">
                  <c:v>Morning</c:v>
                </c:pt>
                <c:pt idx="4">
                  <c:v>Night</c:v>
                </c:pt>
              </c:strCache>
            </c:strRef>
          </c:cat>
          <c:val>
            <c:numRef>
              <c:f>Pivot!$I$11:$I$16</c:f>
              <c:numCache>
                <c:formatCode>General</c:formatCode>
                <c:ptCount val="5"/>
                <c:pt idx="0">
                  <c:v>129</c:v>
                </c:pt>
                <c:pt idx="1">
                  <c:v>116</c:v>
                </c:pt>
                <c:pt idx="2">
                  <c:v>112</c:v>
                </c:pt>
                <c:pt idx="3">
                  <c:v>114</c:v>
                </c:pt>
                <c:pt idx="4">
                  <c:v>129</c:v>
                </c:pt>
              </c:numCache>
            </c:numRef>
          </c:val>
          <c:extLst>
            <c:ext xmlns:c16="http://schemas.microsoft.com/office/drawing/2014/chart" uri="{C3380CC4-5D6E-409C-BE32-E72D297353CC}">
              <c16:uniqueId val="{00000000-96E1-4AC4-8893-2DC5516622D1}"/>
            </c:ext>
          </c:extLst>
        </c:ser>
        <c:dLbls>
          <c:showLegendKey val="0"/>
          <c:showVal val="0"/>
          <c:showCatName val="0"/>
          <c:showSerName val="0"/>
          <c:showPercent val="0"/>
          <c:showBubbleSize val="0"/>
        </c:dLbls>
        <c:gapWidth val="219"/>
        <c:overlap val="-27"/>
        <c:axId val="969507327"/>
        <c:axId val="969508287"/>
      </c:barChart>
      <c:catAx>
        <c:axId val="96950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08287"/>
        <c:crosses val="autoZero"/>
        <c:auto val="1"/>
        <c:lblAlgn val="ctr"/>
        <c:lblOffset val="100"/>
        <c:noMultiLvlLbl val="0"/>
      </c:catAx>
      <c:valAx>
        <c:axId val="9695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0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9</xdr:col>
      <xdr:colOff>304800</xdr:colOff>
      <xdr:row>26</xdr:row>
      <xdr:rowOff>0</xdr:rowOff>
    </xdr:to>
    <xdr:graphicFrame macro="">
      <xdr:nvGraphicFramePr>
        <xdr:cNvPr id="3" name="Chart 2">
          <a:extLst>
            <a:ext uri="{FF2B5EF4-FFF2-40B4-BE49-F238E27FC236}">
              <a16:creationId xmlns:a16="http://schemas.microsoft.com/office/drawing/2014/main" id="{C77DE90E-3A82-4C0D-B27A-7D55C737C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11</xdr:row>
      <xdr:rowOff>0</xdr:rowOff>
    </xdr:from>
    <xdr:to>
      <xdr:col>18</xdr:col>
      <xdr:colOff>304800</xdr:colOff>
      <xdr:row>26</xdr:row>
      <xdr:rowOff>0</xdr:rowOff>
    </xdr:to>
    <xdr:graphicFrame macro="">
      <xdr:nvGraphicFramePr>
        <xdr:cNvPr id="5" name="Chart 4">
          <a:extLst>
            <a:ext uri="{FF2B5EF4-FFF2-40B4-BE49-F238E27FC236}">
              <a16:creationId xmlns:a16="http://schemas.microsoft.com/office/drawing/2014/main" id="{CBAB8782-3C94-48B1-A2D4-F6BFB3995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31</xdr:row>
      <xdr:rowOff>0</xdr:rowOff>
    </xdr:from>
    <xdr:to>
      <xdr:col>9</xdr:col>
      <xdr:colOff>304800</xdr:colOff>
      <xdr:row>46</xdr:row>
      <xdr:rowOff>0</xdr:rowOff>
    </xdr:to>
    <xdr:graphicFrame macro="">
      <xdr:nvGraphicFramePr>
        <xdr:cNvPr id="6" name="Chart 5">
          <a:extLst>
            <a:ext uri="{FF2B5EF4-FFF2-40B4-BE49-F238E27FC236}">
              <a16:creationId xmlns:a16="http://schemas.microsoft.com/office/drawing/2014/main" id="{38ADC6A1-A6E0-4B8D-9284-E2E03715F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31</xdr:row>
      <xdr:rowOff>0</xdr:rowOff>
    </xdr:from>
    <xdr:to>
      <xdr:col>18</xdr:col>
      <xdr:colOff>304800</xdr:colOff>
      <xdr:row>45</xdr:row>
      <xdr:rowOff>152400</xdr:rowOff>
    </xdr:to>
    <xdr:graphicFrame macro="">
      <xdr:nvGraphicFramePr>
        <xdr:cNvPr id="9" name="Chart 8">
          <a:extLst>
            <a:ext uri="{FF2B5EF4-FFF2-40B4-BE49-F238E27FC236}">
              <a16:creationId xmlns:a16="http://schemas.microsoft.com/office/drawing/2014/main" id="{314669EF-EE09-4212-B0AE-7E7338E03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82222</xdr:colOff>
      <xdr:row>11</xdr:row>
      <xdr:rowOff>90235</xdr:rowOff>
    </xdr:from>
    <xdr:to>
      <xdr:col>26</xdr:col>
      <xdr:colOff>82222</xdr:colOff>
      <xdr:row>24</xdr:row>
      <xdr:rowOff>151467</xdr:rowOff>
    </xdr:to>
    <mc:AlternateContent xmlns:mc="http://schemas.openxmlformats.org/markup-compatibility/2006" xmlns:a14="http://schemas.microsoft.com/office/drawing/2010/main">
      <mc:Choice Requires="a14">
        <xdr:graphicFrame macro="">
          <xdr:nvGraphicFramePr>
            <xdr:cNvPr id="10" name="Airline">
              <a:extLst>
                <a:ext uri="{FF2B5EF4-FFF2-40B4-BE49-F238E27FC236}">
                  <a16:creationId xmlns:a16="http://schemas.microsoft.com/office/drawing/2014/main" id="{9F54E335-9450-A026-3AE3-A56D20D52227}"/>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14103022" y="233269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72424</xdr:colOff>
      <xdr:row>30</xdr:row>
      <xdr:rowOff>167988</xdr:rowOff>
    </xdr:from>
    <xdr:to>
      <xdr:col>26</xdr:col>
      <xdr:colOff>72424</xdr:colOff>
      <xdr:row>44</xdr:row>
      <xdr:rowOff>44163</xdr:rowOff>
    </xdr:to>
    <mc:AlternateContent xmlns:mc="http://schemas.openxmlformats.org/markup-compatibility/2006" xmlns:a14="http://schemas.microsoft.com/office/drawing/2010/main">
      <mc:Choice Requires="a14">
        <xdr:graphicFrame macro="">
          <xdr:nvGraphicFramePr>
            <xdr:cNvPr id="11" name="Source_City">
              <a:extLst>
                <a:ext uri="{FF2B5EF4-FFF2-40B4-BE49-F238E27FC236}">
                  <a16:creationId xmlns:a16="http://schemas.microsoft.com/office/drawing/2014/main" id="{62A32ACF-F7CA-E5CC-6ACB-C1886BA8010B}"/>
                </a:ext>
              </a:extLst>
            </xdr:cNvPr>
            <xdr:cNvGraphicFramePr/>
          </xdr:nvGraphicFramePr>
          <xdr:xfrm>
            <a:off x="0" y="0"/>
            <a:ext cx="0" cy="0"/>
          </xdr:xfrm>
          <a:graphic>
            <a:graphicData uri="http://schemas.microsoft.com/office/drawing/2010/slicer">
              <sle:slicer xmlns:sle="http://schemas.microsoft.com/office/drawing/2010/slicer" name="Source_City"/>
            </a:graphicData>
          </a:graphic>
        </xdr:graphicFrame>
      </mc:Choice>
      <mc:Fallback xmlns="">
        <xdr:sp macro="" textlink="">
          <xdr:nvSpPr>
            <xdr:cNvPr id="0" name=""/>
            <xdr:cNvSpPr>
              <a:spLocks noTextEdit="1"/>
            </xdr:cNvSpPr>
          </xdr:nvSpPr>
          <xdr:spPr>
            <a:xfrm>
              <a:off x="14093224" y="592653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192562</xdr:colOff>
      <xdr:row>30</xdr:row>
      <xdr:rowOff>158652</xdr:rowOff>
    </xdr:from>
    <xdr:to>
      <xdr:col>22</xdr:col>
      <xdr:colOff>192562</xdr:colOff>
      <xdr:row>44</xdr:row>
      <xdr:rowOff>28110</xdr:rowOff>
    </xdr:to>
    <mc:AlternateContent xmlns:mc="http://schemas.openxmlformats.org/markup-compatibility/2006" xmlns:a14="http://schemas.microsoft.com/office/drawing/2010/main">
      <mc:Choice Requires="a14">
        <xdr:graphicFrame macro="">
          <xdr:nvGraphicFramePr>
            <xdr:cNvPr id="12" name="Destination_City">
              <a:extLst>
                <a:ext uri="{FF2B5EF4-FFF2-40B4-BE49-F238E27FC236}">
                  <a16:creationId xmlns:a16="http://schemas.microsoft.com/office/drawing/2014/main" id="{5A69FCCB-FDC6-C322-7549-4EB58E903F14}"/>
                </a:ext>
              </a:extLst>
            </xdr:cNvPr>
            <xdr:cNvGraphicFramePr/>
          </xdr:nvGraphicFramePr>
          <xdr:xfrm>
            <a:off x="0" y="0"/>
            <a:ext cx="0" cy="0"/>
          </xdr:xfrm>
          <a:graphic>
            <a:graphicData uri="http://schemas.microsoft.com/office/drawing/2010/slicer">
              <sle:slicer xmlns:sle="http://schemas.microsoft.com/office/drawing/2010/slicer" name="Destination_City"/>
            </a:graphicData>
          </a:graphic>
        </xdr:graphicFrame>
      </mc:Choice>
      <mc:Fallback xmlns="">
        <xdr:sp macro="" textlink="">
          <xdr:nvSpPr>
            <xdr:cNvPr id="0" name=""/>
            <xdr:cNvSpPr>
              <a:spLocks noTextEdit="1"/>
            </xdr:cNvSpPr>
          </xdr:nvSpPr>
          <xdr:spPr>
            <a:xfrm>
              <a:off x="11774962" y="5917195"/>
              <a:ext cx="1828800" cy="2460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212874</xdr:colOff>
      <xdr:row>11</xdr:row>
      <xdr:rowOff>55748</xdr:rowOff>
    </xdr:from>
    <xdr:to>
      <xdr:col>22</xdr:col>
      <xdr:colOff>212874</xdr:colOff>
      <xdr:row>24</xdr:row>
      <xdr:rowOff>116981</xdr:rowOff>
    </xdr:to>
    <mc:AlternateContent xmlns:mc="http://schemas.openxmlformats.org/markup-compatibility/2006" xmlns:a14="http://schemas.microsoft.com/office/drawing/2010/main">
      <mc:Choice Requires="a14">
        <xdr:graphicFrame macro="">
          <xdr:nvGraphicFramePr>
            <xdr:cNvPr id="13" name="Delay_Status">
              <a:extLst>
                <a:ext uri="{FF2B5EF4-FFF2-40B4-BE49-F238E27FC236}">
                  <a16:creationId xmlns:a16="http://schemas.microsoft.com/office/drawing/2014/main" id="{67190570-BDA3-EBD5-96B8-F2856315763D}"/>
                </a:ext>
              </a:extLst>
            </xdr:cNvPr>
            <xdr:cNvGraphicFramePr/>
          </xdr:nvGraphicFramePr>
          <xdr:xfrm>
            <a:off x="0" y="0"/>
            <a:ext cx="0" cy="0"/>
          </xdr:xfrm>
          <a:graphic>
            <a:graphicData uri="http://schemas.microsoft.com/office/drawing/2010/slicer">
              <sle:slicer xmlns:sle="http://schemas.microsoft.com/office/drawing/2010/slicer" name="Delay_Status"/>
            </a:graphicData>
          </a:graphic>
        </xdr:graphicFrame>
      </mc:Choice>
      <mc:Fallback xmlns="">
        <xdr:sp macro="" textlink="">
          <xdr:nvSpPr>
            <xdr:cNvPr id="0" name=""/>
            <xdr:cNvSpPr>
              <a:spLocks noTextEdit="1"/>
            </xdr:cNvSpPr>
          </xdr:nvSpPr>
          <xdr:spPr>
            <a:xfrm>
              <a:off x="11795274" y="2298205"/>
              <a:ext cx="182880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49</xdr:row>
      <xdr:rowOff>0</xdr:rowOff>
    </xdr:from>
    <xdr:to>
      <xdr:col>9</xdr:col>
      <xdr:colOff>304800</xdr:colOff>
      <xdr:row>63</xdr:row>
      <xdr:rowOff>152400</xdr:rowOff>
    </xdr:to>
    <xdr:graphicFrame macro="">
      <xdr:nvGraphicFramePr>
        <xdr:cNvPr id="14" name="Chart 13">
          <a:extLst>
            <a:ext uri="{FF2B5EF4-FFF2-40B4-BE49-F238E27FC236}">
              <a16:creationId xmlns:a16="http://schemas.microsoft.com/office/drawing/2014/main" id="{9FECEA16-2AA6-45FB-8E44-38E2898AA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Bhagat" refreshedDate="46109.552513773146" createdVersion="8" refreshedVersion="8" minRefreshableVersion="3" recordCount="600" xr:uid="{B0F5B4FF-11B4-496E-A575-89F1CCA0E5E3}">
  <cacheSource type="worksheet">
    <worksheetSource name="Table1"/>
  </cacheSource>
  <cacheFields count="14">
    <cacheField name="Date" numFmtId="14">
      <sharedItems containsSemiMixedTypes="0" containsNonDate="0" containsDate="1" containsString="0" minDate="2024-01-01T00:00:00" maxDate="2024-03-02T00:00:00"/>
    </cacheField>
    <cacheField name="Airline" numFmtId="0">
      <sharedItems count="5">
        <s v="IndiGo"/>
        <s v="SpiceJet"/>
        <s v="AirAsia"/>
        <s v="Vistara"/>
        <s v="Air India"/>
      </sharedItems>
    </cacheField>
    <cacheField name="Flight_Number" numFmtId="0">
      <sharedItems count="559">
        <s v="IN-132"/>
        <s v="IN-384"/>
        <s v="IN-199"/>
        <s v="SP-982"/>
        <s v="AI-489"/>
        <s v="VI-763"/>
        <s v="AI-324"/>
        <s v="SP-680"/>
        <s v="SP-651"/>
        <s v="AI-981"/>
        <s v="AI-666"/>
        <s v="IN-839"/>
        <s v="SP-897"/>
        <s v="AI-999"/>
        <s v="IN-640"/>
        <s v="AI-562"/>
        <s v="AI-160"/>
        <s v="IN-840"/>
        <s v="AI-462"/>
        <s v="VI-294"/>
        <s v="VI-982"/>
        <s v="AI-985"/>
        <s v="IN-902"/>
        <s v="VI-588"/>
        <s v="AI-340"/>
        <s v="IN-833"/>
        <s v="AI-736"/>
        <s v="IN-478"/>
        <s v="AI-237"/>
        <s v="IN-973"/>
        <s v="AI-233"/>
        <s v="SP-954"/>
        <s v="AI-315"/>
        <s v="AI-930"/>
        <s v="VI-139"/>
        <s v="VI-508"/>
        <s v="SP-367"/>
        <s v="AI-623"/>
        <s v="VI-171"/>
        <s v="SP-230"/>
        <s v="VI-315"/>
        <s v="AI-186"/>
        <s v="AI-147"/>
        <s v="VI-804"/>
        <s v="IN-224"/>
        <s v="AI-262"/>
        <s v="VI-340"/>
        <s v="SP-165"/>
        <s v="VI-698"/>
        <s v="IN-852"/>
        <s v="AI-917"/>
        <s v="AI-538"/>
        <s v="VI-488"/>
        <s v="VI-767"/>
        <s v="IN-323"/>
        <s v="SP-419"/>
        <s v="VI-223"/>
        <s v="AI-942"/>
        <s v="IN-651"/>
        <s v="VI-561"/>
        <s v="VI-463"/>
        <s v="SP-600"/>
        <s v="AI-349"/>
        <s v="AI-377"/>
        <s v="SP-383"/>
        <s v="AI-825"/>
        <s v="AI-687"/>
        <s v="VI-510"/>
        <s v="IN-526"/>
        <s v="AI-161"/>
        <s v="IN-518"/>
        <s v="AI-370"/>
        <s v="AI-269"/>
        <s v="SP-378"/>
        <s v="AI-193"/>
        <s v="AI-699"/>
        <s v="VI-437"/>
        <s v="VI-891"/>
        <s v="AI-740"/>
        <s v="IN-745"/>
        <s v="AI-216"/>
        <s v="IN-664"/>
        <s v="VI-619"/>
        <s v="IN-881"/>
        <s v="VI-584"/>
        <s v="VI-550"/>
        <s v="AI-507"/>
        <s v="IN-800"/>
        <s v="SP-915"/>
        <s v="SP-180"/>
        <s v="VI-109"/>
        <s v="VI-806"/>
        <s v="VI-816"/>
        <s v="IN-460"/>
        <s v="AI-849"/>
        <s v="IN-379"/>
        <s v="AI-331"/>
        <s v="VI-788"/>
        <s v="SP-164"/>
        <s v="AI-601"/>
        <s v="VI-476"/>
        <s v="SP-711"/>
        <s v="IN-932"/>
        <s v="AI-987"/>
        <s v="AI-531"/>
        <s v="IN-144"/>
        <s v="AI-554"/>
        <s v="IN-643"/>
        <s v="VI-947"/>
        <s v="VI-585"/>
        <s v="IN-675"/>
        <s v="SP-619"/>
        <s v="AI-539"/>
        <s v="AI-447"/>
        <s v="VI-153"/>
        <s v="AI-873"/>
        <s v="IN-713"/>
        <s v="IN-864"/>
        <s v="AI-570"/>
        <s v="IN-432"/>
        <s v="AI-991"/>
        <s v="SP-938"/>
        <s v="AI-771"/>
        <s v="AI-580"/>
        <s v="SP-951"/>
        <s v="IN-929"/>
        <s v="AI-957"/>
        <s v="IN-389"/>
        <s v="VI-972"/>
        <s v="AI-284"/>
        <s v="AI-652"/>
        <s v="AI-889"/>
        <s v="AI-339"/>
        <s v="AI-528"/>
        <s v="AI-628"/>
        <s v="IN-327"/>
        <s v="VI-128"/>
        <s v="IN-877"/>
        <s v="VI-844"/>
        <s v="AI-912"/>
        <s v="VI-101"/>
        <s v="SP-581"/>
        <s v="VI-852"/>
        <s v="SP-286"/>
        <s v="AI-423"/>
        <s v="IN-495"/>
        <s v="AI-270"/>
        <s v="VI-752"/>
        <s v="SP-760"/>
        <s v="SP-687"/>
        <s v="AI-496"/>
        <s v="AI-973"/>
        <s v="VI-828"/>
        <s v="AI-686"/>
        <s v="VI-519"/>
        <s v="AI-898"/>
        <s v="AI-265"/>
        <s v="AI-729"/>
        <s v="IN-984"/>
        <s v="IN-594"/>
        <s v="VI-721"/>
        <s v="SP-577"/>
        <s v="SP-263"/>
        <s v="SP-502"/>
        <s v="VI-769"/>
        <s v="VI-512"/>
        <s v="IN-561"/>
        <s v="AI-474"/>
        <s v="AI-923"/>
        <s v="AI-731"/>
        <s v="SP-789"/>
        <s v="VI-697"/>
        <s v="AI-551"/>
        <s v="VI-674"/>
        <s v="VI-838"/>
        <s v="SP-806"/>
        <s v="AI-306"/>
        <s v="AI-643"/>
        <s v="AI-663"/>
        <s v="AI-191"/>
        <s v="AI-866"/>
        <s v="SP-605"/>
        <s v="AI-290"/>
        <s v="SP-197"/>
        <s v="AI-409"/>
        <s v="AI-614"/>
        <s v="SP-720"/>
        <s v="VI-640"/>
        <s v="SP-796"/>
        <s v="AI-672"/>
        <s v="SP-452"/>
        <s v="IN-884"/>
        <s v="VI-456"/>
        <s v="AI-574"/>
        <s v="AI-996"/>
        <s v="IN-557"/>
        <s v="IN-396"/>
        <s v="AI-633"/>
        <s v="VI-758"/>
        <s v="AI-361"/>
        <s v="SP-717"/>
        <s v="IN-115"/>
        <s v="AI-646"/>
        <s v="SP-479"/>
        <s v="VI-602"/>
        <s v="AI-959"/>
        <s v="IN-617"/>
        <s v="SP-839"/>
        <s v="AI-734"/>
        <s v="SP-331"/>
        <s v="IN-819"/>
        <s v="IN-808"/>
        <s v="AI-701"/>
        <s v="VI-243"/>
        <s v="IN-887"/>
        <s v="AI-542"/>
        <s v="AI-257"/>
        <s v="AI-376"/>
        <s v="AI-195"/>
        <s v="AI-164"/>
        <s v="VI-607"/>
        <s v="AI-982"/>
        <s v="VI-281"/>
        <s v="SP-677"/>
        <s v="AI-968"/>
        <s v="VI-908"/>
        <s v="IN-468"/>
        <s v="AI-760"/>
        <s v="VI-500"/>
        <s v="AI-187"/>
        <s v="AI-813"/>
        <s v="SP-268"/>
        <s v="AI-744"/>
        <s v="AI-319"/>
        <s v="SP-368"/>
        <s v="VI-933"/>
        <s v="SP-810"/>
        <s v="AI-467"/>
        <s v="IN-554"/>
        <s v="AI-272"/>
        <s v="VI-142"/>
        <s v="IN-933"/>
        <s v="IN-978"/>
        <s v="IN-948"/>
        <s v="VI-887"/>
        <s v="VI-967"/>
        <s v="IN-430"/>
        <s v="SP-741"/>
        <s v="VI-235"/>
        <s v="SP-740"/>
        <s v="AI-631"/>
        <s v="VI-191"/>
        <s v="IN-793"/>
        <s v="IN-255"/>
        <s v="VI-493"/>
        <s v="SP-912"/>
        <s v="VI-959"/>
        <s v="VI-320"/>
        <s v="IN-650"/>
        <s v="AI-881"/>
        <s v="IN-723"/>
        <s v="SP-901"/>
        <s v="SP-369"/>
        <s v="IN-583"/>
        <s v="VI-837"/>
        <s v="SP-170"/>
        <s v="VI-903"/>
        <s v="AI-519"/>
        <s v="AI-343"/>
        <s v="VI-569"/>
        <s v="IN-233"/>
        <s v="SP-307"/>
        <s v="AI-888"/>
        <s v="VI-141"/>
        <s v="SP-278"/>
        <s v="VI-163"/>
        <s v="AI-166"/>
        <s v="VI-543"/>
        <s v="VI-556"/>
        <s v="AI-189"/>
        <s v="VI-596"/>
        <s v="SP-372"/>
        <s v="IN-705"/>
        <s v="SP-192"/>
        <s v="AI-448"/>
        <s v="AI-778"/>
        <s v="AI-764"/>
        <s v="AI-230"/>
        <s v="IN-679"/>
        <s v="VI-786"/>
        <s v="SP-149"/>
        <s v="VI-907"/>
        <s v="AI-207"/>
        <s v="SP-769"/>
        <s v="AI-847"/>
        <s v="SP-103"/>
        <s v="IN-183"/>
        <s v="IN-490"/>
        <s v="AI-870"/>
        <s v="IN-648"/>
        <s v="VI-629"/>
        <s v="AI-229"/>
        <s v="VI-669"/>
        <s v="AI-702"/>
        <s v="IN-863"/>
        <s v="SP-989"/>
        <s v="AI-516"/>
        <s v="VI-636"/>
        <s v="AI-821"/>
        <s v="SP-281"/>
        <s v="VI-495"/>
        <s v="AI-899"/>
        <s v="IN-758"/>
        <s v="VI-623"/>
        <s v="SP-921"/>
        <s v="AI-136"/>
        <s v="AI-997"/>
        <s v="AI-463"/>
        <s v="SP-987"/>
        <s v="AI-155"/>
        <s v="AI-599"/>
        <s v="IN-304"/>
        <s v="SP-998"/>
        <s v="SP-397"/>
        <s v="AI-268"/>
        <s v="IN-120"/>
        <s v="IN-802"/>
        <s v="IN-732"/>
        <s v="SP-519"/>
        <s v="IN-403"/>
        <s v="VI-197"/>
        <s v="IN-934"/>
        <s v="AI-916"/>
        <s v="IN-897"/>
        <s v="AI-770"/>
        <s v="IN-844"/>
        <s v="VI-580"/>
        <s v="VI-663"/>
        <s v="VI-609"/>
        <s v="IN-770"/>
        <s v="VI-833"/>
        <s v="IN-268"/>
        <s v="AI-900"/>
        <s v="SP-104"/>
        <s v="IN-773"/>
        <s v="AI-236"/>
        <s v="VI-397"/>
        <s v="SP-684"/>
        <s v="VI-157"/>
        <s v="SP-563"/>
        <s v="AI-490"/>
        <s v="VI-821"/>
        <s v="SP-176"/>
        <s v="AI-966"/>
        <s v="IN-740"/>
        <s v="SP-633"/>
        <s v="AI-779"/>
        <s v="SP-757"/>
        <s v="AI-941"/>
        <s v="SP-184"/>
        <s v="IN-534"/>
        <s v="IN-155"/>
        <s v="SP-423"/>
        <s v="VI-614"/>
        <s v="SP-260"/>
        <s v="AI-668"/>
        <s v="IN-843"/>
        <s v="AI-787"/>
        <s v="AI-302"/>
        <s v="AI-425"/>
        <s v="VI-420"/>
        <s v="AI-893"/>
        <s v="VI-301"/>
        <s v="AI-622"/>
        <s v="VI-679"/>
        <s v="SP-955"/>
        <s v="AI-718"/>
        <s v="AI-470"/>
        <s v="IN-265"/>
        <s v="VI-250"/>
        <s v="AI-582"/>
        <s v="VI-450"/>
        <s v="VI-635"/>
        <s v="AI-644"/>
        <s v="IN-814"/>
        <s v="VI-979"/>
        <s v="SP-220"/>
        <s v="IN-367"/>
        <s v="AI-902"/>
        <s v="VI-241"/>
        <s v="IN-728"/>
        <s v="IN-549"/>
        <s v="AI-468"/>
        <s v="IN-854"/>
        <s v="IN-299"/>
        <s v="VI-448"/>
        <s v="IN-894"/>
        <s v="VI-335"/>
        <s v="SP-866"/>
        <s v="SP-799"/>
        <s v="AI-956"/>
        <s v="SP-480"/>
        <s v="SP-231"/>
        <s v="AI-223"/>
        <s v="AI-727"/>
        <s v="SP-534"/>
        <s v="VI-802"/>
        <s v="IN-856"/>
        <s v="IN-442"/>
        <s v="SP-795"/>
        <s v="AI-180"/>
        <s v="AI-451"/>
        <s v="VI-506"/>
        <s v="IN-958"/>
        <s v="SP-580"/>
        <s v="IN-107"/>
        <s v="SP-181"/>
        <s v="AI-396"/>
        <s v="VI-647"/>
        <s v="AI-605"/>
        <s v="SP-249"/>
        <s v="SP-224"/>
        <s v="AI-313"/>
        <s v="VI-469"/>
        <s v="IN-698"/>
        <s v="VI-611"/>
        <s v="AI-671"/>
        <s v="SP-548"/>
        <s v="SP-713"/>
        <s v="AI-100"/>
        <s v="AI-651"/>
        <s v="VI-198"/>
        <s v="IN-684"/>
        <s v="VI-172"/>
        <s v="AI-159"/>
        <s v="AI-336"/>
        <s v="VI-690"/>
        <s v="VI-714"/>
        <s v="SP-658"/>
        <s v="VI-710"/>
        <s v="AI-806"/>
        <s v="SP-371"/>
        <s v="AI-840"/>
        <s v="VI-889"/>
        <s v="SP-652"/>
        <s v="VI-613"/>
        <s v="AI-853"/>
        <s v="AI-295"/>
        <s v="SP-937"/>
        <s v="AI-939"/>
        <s v="IN-316"/>
        <s v="AI-972"/>
        <s v="SP-596"/>
        <s v="AI-412"/>
        <s v="IN-189"/>
        <s v="VI-655"/>
        <s v="AI-883"/>
        <s v="VI-880"/>
        <s v="AI-804"/>
        <s v="VI-267"/>
        <s v="AI-167"/>
        <s v="VI-944"/>
        <s v="SP-351"/>
        <s v="AI-892"/>
        <s v="SP-215"/>
        <s v="AI-704"/>
        <s v="AI-749"/>
        <s v="IN-443"/>
        <s v="AI-220"/>
        <s v="AI-722"/>
        <s v="VI-106"/>
        <s v="AI-137"/>
        <s v="IN-282"/>
        <s v="SP-406"/>
        <s v="SP-980"/>
        <s v="SP-805"/>
        <s v="SP-609"/>
        <s v="AI-855"/>
        <s v="SP-682"/>
        <s v="IN-593"/>
        <s v="VI-313"/>
        <s v="SP-498"/>
        <s v="AI-949"/>
        <s v="SP-194"/>
        <s v="AI-992"/>
        <s v="AI-145"/>
        <s v="AI-428"/>
        <s v="AI-217"/>
        <s v="AI-791"/>
        <s v="IN-440"/>
        <s v="AI-800"/>
        <s v="VI-781"/>
        <s v="SP-389"/>
        <s v="SP-765"/>
        <s v="SP-593"/>
        <s v="IN-785"/>
        <s v="AI-280"/>
        <s v="VI-936"/>
        <s v="AI-998"/>
        <s v="SP-163"/>
        <s v="AI-819"/>
        <s v="VI-586"/>
        <s v="AI-173"/>
        <s v="IN-812"/>
        <s v="VI-719"/>
        <s v="IN-724"/>
        <s v="AI-711"/>
        <s v="SP-398"/>
        <s v="AI-387"/>
        <s v="SP-817"/>
        <s v="VI-870"/>
        <s v="VI-575"/>
        <s v="VI-545"/>
        <s v="SP-767"/>
        <s v="SP-702"/>
        <s v="AI-200"/>
        <s v="IN-194"/>
        <s v="AI-882"/>
        <s v="AI-383"/>
        <s v="VI-440"/>
        <s v="SP-211"/>
        <s v="AI-685"/>
        <s v="SP-437"/>
        <s v="VI-103"/>
        <s v="VI-762"/>
        <s v="SP-776"/>
        <s v="SP-136"/>
        <s v="IN-954"/>
        <s v="AI-119"/>
        <s v="AI-274"/>
        <s v="VI-707"/>
        <s v="SP-349"/>
        <s v="AI-283"/>
        <s v="IN-635"/>
        <s v="VI-901"/>
        <s v="SP-983"/>
        <s v="AI-801"/>
        <s v="VI-442"/>
        <s v="VI-218"/>
        <s v="AI-433"/>
        <s v="IN-248"/>
        <s v="SP-878"/>
        <s v="AI-321"/>
        <s v="VI-705"/>
        <s v="AI-503"/>
        <s v="IN-344"/>
        <s v="IN-515"/>
        <s v="SP-870"/>
        <s v="AI-481"/>
        <s v="VI-928"/>
        <s v="IN-382"/>
        <s v="AI-530"/>
        <s v="IN-434"/>
        <s v="AI-413"/>
        <s v="SP-733"/>
        <s v="AI-424"/>
        <s v="AI-559"/>
        <s v="AI-427"/>
        <s v="IN-918"/>
      </sharedItems>
    </cacheField>
    <cacheField name="Source_City" numFmtId="0">
      <sharedItems count="6">
        <s v="Delhi"/>
        <s v="Mumbai"/>
        <s v="Hyderabad"/>
        <s v="Kolkata"/>
        <s v="Chennai"/>
        <s v="Bangalore"/>
      </sharedItems>
    </cacheField>
    <cacheField name="Destination_City" numFmtId="0">
      <sharedItems count="6">
        <s v="Chennai"/>
        <s v="Bangalore"/>
        <s v="Hyderabad"/>
        <s v="Delhi"/>
        <s v="Mumbai"/>
        <s v="Kolkata"/>
      </sharedItems>
    </cacheField>
    <cacheField name="Departure_Time" numFmtId="0">
      <sharedItems count="5">
        <s v="Morning"/>
        <s v="Night"/>
        <s v="Afternoon"/>
        <s v="Early_Morning"/>
        <s v="Evening"/>
      </sharedItems>
    </cacheField>
    <cacheField name="Stops" numFmtId="0">
      <sharedItems/>
    </cacheField>
    <cacheField name="Arrival_Time" numFmtId="0">
      <sharedItems/>
    </cacheField>
    <cacheField name="Class" numFmtId="0">
      <sharedItems/>
    </cacheField>
    <cacheField name="Duration_Hours" numFmtId="0">
      <sharedItems containsSemiMixedTypes="0" containsString="0" containsNumber="1" minValue="1.54" maxValue="11.96"/>
    </cacheField>
    <cacheField name="Delay_Minutes" numFmtId="0">
      <sharedItems containsSemiMixedTypes="0" containsString="0" containsNumber="1" containsInteger="1" minValue="0" maxValue="120"/>
    </cacheField>
    <cacheField name="Delay_Reason" numFmtId="0">
      <sharedItems/>
    </cacheField>
    <cacheField name="Delay_Status" numFmtId="0">
      <sharedItems count="2">
        <s v="On Time"/>
        <s v="Delayed"/>
      </sharedItems>
    </cacheField>
    <cacheField name="Route" numFmtId="0">
      <sharedItems count="30">
        <s v="Delhi → Chennai"/>
        <s v="Mumbai → Bangalore"/>
        <s v="Mumbai → Hyderabad"/>
        <s v="Hyderabad → Bangalore"/>
        <s v="Mumbai → Delhi"/>
        <s v="Kolkata → Bangalore"/>
        <s v="Kolkata → Mumbai"/>
        <s v="Delhi → Bangalore"/>
        <s v="Chennai → Kolkata"/>
        <s v="Kolkata → Delhi"/>
        <s v="Hyderabad → Mumbai"/>
        <s v="Delhi → Kolkata"/>
        <s v="Delhi → Hyderabad"/>
        <s v="Chennai → Mumbai"/>
        <s v="Hyderabad → Chennai"/>
        <s v="Chennai → Delhi"/>
        <s v="Delhi → Mumbai"/>
        <s v="Bangalore → Hyderabad"/>
        <s v="Chennai → Bangalore"/>
        <s v="Bangalore → Delhi"/>
        <s v="Kolkata → Chennai"/>
        <s v="Kolkata → Hyderabad"/>
        <s v="Hyderabad → Delhi"/>
        <s v="Bangalore → Kolkata"/>
        <s v="Bangalore → Mumbai"/>
        <s v="Chennai → Hyderabad"/>
        <s v="Hyderabad → Kolkata"/>
        <s v="Bangalore → Chennai"/>
        <s v="Mumbai → Chennai"/>
        <s v="Mumbai → Kolkata"/>
      </sharedItems>
    </cacheField>
  </cacheFields>
  <extLst>
    <ext xmlns:x14="http://schemas.microsoft.com/office/spreadsheetml/2009/9/main" uri="{725AE2AE-9491-48be-B2B4-4EB974FC3084}">
      <x14:pivotCacheDefinition pivotCacheId="594737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d v="2024-02-10T00:00:00"/>
    <x v="0"/>
    <x v="0"/>
    <x v="0"/>
    <x v="0"/>
    <x v="0"/>
    <s v="zero"/>
    <s v="Morning"/>
    <s v="Economy"/>
    <n v="7.7"/>
    <n v="0"/>
    <s v="None"/>
    <x v="0"/>
    <x v="0"/>
  </r>
  <r>
    <d v="2024-01-02T00:00:00"/>
    <x v="0"/>
    <x v="1"/>
    <x v="1"/>
    <x v="1"/>
    <x v="1"/>
    <s v="zero"/>
    <s v="Night"/>
    <s v="Economy"/>
    <n v="6.22"/>
    <n v="96"/>
    <s v="Weather"/>
    <x v="1"/>
    <x v="1"/>
  </r>
  <r>
    <d v="2024-02-21T00:00:00"/>
    <x v="0"/>
    <x v="2"/>
    <x v="1"/>
    <x v="2"/>
    <x v="2"/>
    <s v="zero"/>
    <s v="Afternoon"/>
    <s v="Economy"/>
    <n v="2.4700000000000002"/>
    <n v="102"/>
    <s v="Weather"/>
    <x v="1"/>
    <x v="2"/>
  </r>
  <r>
    <d v="2024-01-23T00:00:00"/>
    <x v="1"/>
    <x v="3"/>
    <x v="2"/>
    <x v="1"/>
    <x v="3"/>
    <s v="zero"/>
    <s v="Evening"/>
    <s v="Business"/>
    <n v="7.99"/>
    <n v="15"/>
    <s v="Air Traffic"/>
    <x v="1"/>
    <x v="3"/>
  </r>
  <r>
    <d v="2024-01-24T00:00:00"/>
    <x v="2"/>
    <x v="4"/>
    <x v="1"/>
    <x v="3"/>
    <x v="3"/>
    <s v="one"/>
    <s v="Morning"/>
    <s v="Economy"/>
    <n v="10.6"/>
    <n v="0"/>
    <s v="None"/>
    <x v="0"/>
    <x v="4"/>
  </r>
  <r>
    <d v="2024-01-18T00:00:00"/>
    <x v="3"/>
    <x v="5"/>
    <x v="3"/>
    <x v="1"/>
    <x v="0"/>
    <s v="one"/>
    <s v="Afternoon"/>
    <s v="Economy"/>
    <n v="11.33"/>
    <n v="90"/>
    <s v="Air Traffic"/>
    <x v="1"/>
    <x v="5"/>
  </r>
  <r>
    <d v="2024-01-05T00:00:00"/>
    <x v="2"/>
    <x v="6"/>
    <x v="3"/>
    <x v="4"/>
    <x v="1"/>
    <s v="zero"/>
    <s v="Morning"/>
    <s v="Business"/>
    <n v="8.73"/>
    <n v="53"/>
    <s v="Air Traffic"/>
    <x v="1"/>
    <x v="6"/>
  </r>
  <r>
    <d v="2024-02-13T00:00:00"/>
    <x v="1"/>
    <x v="7"/>
    <x v="0"/>
    <x v="1"/>
    <x v="3"/>
    <s v="one"/>
    <s v="Afternoon"/>
    <s v="Business"/>
    <n v="11.09"/>
    <n v="0"/>
    <s v="None"/>
    <x v="0"/>
    <x v="7"/>
  </r>
  <r>
    <d v="2024-02-26T00:00:00"/>
    <x v="1"/>
    <x v="8"/>
    <x v="1"/>
    <x v="2"/>
    <x v="4"/>
    <s v="zero"/>
    <s v="Evening"/>
    <s v="Business"/>
    <n v="9.32"/>
    <n v="0"/>
    <s v="None"/>
    <x v="0"/>
    <x v="2"/>
  </r>
  <r>
    <d v="2024-01-17T00:00:00"/>
    <x v="2"/>
    <x v="9"/>
    <x v="4"/>
    <x v="5"/>
    <x v="4"/>
    <s v="zero"/>
    <s v="Afternoon"/>
    <s v="Economy"/>
    <n v="9.44"/>
    <n v="70"/>
    <s v="Weather"/>
    <x v="1"/>
    <x v="8"/>
  </r>
  <r>
    <d v="2024-01-08T00:00:00"/>
    <x v="4"/>
    <x v="10"/>
    <x v="3"/>
    <x v="4"/>
    <x v="4"/>
    <s v="zero"/>
    <s v="Night"/>
    <s v="Business"/>
    <n v="4.1399999999999997"/>
    <n v="53"/>
    <s v="Air Traffic"/>
    <x v="1"/>
    <x v="6"/>
  </r>
  <r>
    <d v="2024-02-25T00:00:00"/>
    <x v="0"/>
    <x v="11"/>
    <x v="3"/>
    <x v="3"/>
    <x v="1"/>
    <s v="one"/>
    <s v="Afternoon"/>
    <s v="Economy"/>
    <n v="6.26"/>
    <n v="42"/>
    <s v="Weather"/>
    <x v="1"/>
    <x v="9"/>
  </r>
  <r>
    <d v="2024-02-26T00:00:00"/>
    <x v="1"/>
    <x v="12"/>
    <x v="2"/>
    <x v="4"/>
    <x v="1"/>
    <s v="one"/>
    <s v="Early_Morning"/>
    <s v="Economy"/>
    <n v="7.16"/>
    <n v="24"/>
    <s v="Weather"/>
    <x v="1"/>
    <x v="10"/>
  </r>
  <r>
    <d v="2024-02-29T00:00:00"/>
    <x v="2"/>
    <x v="13"/>
    <x v="0"/>
    <x v="5"/>
    <x v="2"/>
    <s v="zero"/>
    <s v="Evening"/>
    <s v="Economy"/>
    <n v="2.11"/>
    <n v="51"/>
    <s v="Weather"/>
    <x v="1"/>
    <x v="11"/>
  </r>
  <r>
    <d v="2024-02-06T00:00:00"/>
    <x v="0"/>
    <x v="14"/>
    <x v="0"/>
    <x v="2"/>
    <x v="3"/>
    <s v="zero"/>
    <s v="Night"/>
    <s v="Economy"/>
    <n v="3.23"/>
    <n v="89"/>
    <s v="Air Traffic"/>
    <x v="1"/>
    <x v="12"/>
  </r>
  <r>
    <d v="2024-02-25T00:00:00"/>
    <x v="2"/>
    <x v="15"/>
    <x v="4"/>
    <x v="4"/>
    <x v="1"/>
    <s v="one"/>
    <s v="Morning"/>
    <s v="Business"/>
    <n v="10.95"/>
    <n v="90"/>
    <s v="Technical"/>
    <x v="1"/>
    <x v="13"/>
  </r>
  <r>
    <d v="2024-01-08T00:00:00"/>
    <x v="4"/>
    <x v="16"/>
    <x v="1"/>
    <x v="3"/>
    <x v="2"/>
    <s v="zero"/>
    <s v="Early_Morning"/>
    <s v="Economy"/>
    <n v="8.93"/>
    <n v="0"/>
    <s v="None"/>
    <x v="0"/>
    <x v="4"/>
  </r>
  <r>
    <d v="2024-01-15T00:00:00"/>
    <x v="0"/>
    <x v="17"/>
    <x v="0"/>
    <x v="0"/>
    <x v="3"/>
    <s v="zero"/>
    <s v="Night"/>
    <s v="Business"/>
    <n v="7.16"/>
    <n v="90"/>
    <s v="Weather"/>
    <x v="1"/>
    <x v="0"/>
  </r>
  <r>
    <d v="2024-02-29T00:00:00"/>
    <x v="2"/>
    <x v="18"/>
    <x v="2"/>
    <x v="0"/>
    <x v="0"/>
    <s v="one"/>
    <s v="Evening"/>
    <s v="Economy"/>
    <n v="8.42"/>
    <n v="0"/>
    <s v="None"/>
    <x v="0"/>
    <x v="14"/>
  </r>
  <r>
    <d v="2024-01-28T00:00:00"/>
    <x v="3"/>
    <x v="19"/>
    <x v="4"/>
    <x v="3"/>
    <x v="3"/>
    <s v="one"/>
    <s v="Early_Morning"/>
    <s v="Business"/>
    <n v="4.1100000000000003"/>
    <n v="0"/>
    <s v="None"/>
    <x v="0"/>
    <x v="15"/>
  </r>
  <r>
    <d v="2024-02-04T00:00:00"/>
    <x v="3"/>
    <x v="20"/>
    <x v="1"/>
    <x v="2"/>
    <x v="0"/>
    <s v="one"/>
    <s v="Afternoon"/>
    <s v="Economy"/>
    <n v="6.15"/>
    <n v="0"/>
    <s v="None"/>
    <x v="0"/>
    <x v="2"/>
  </r>
  <r>
    <d v="2024-02-24T00:00:00"/>
    <x v="2"/>
    <x v="21"/>
    <x v="0"/>
    <x v="4"/>
    <x v="1"/>
    <s v="zero"/>
    <s v="Early_Morning"/>
    <s v="Economy"/>
    <n v="6.55"/>
    <n v="26"/>
    <s v="Technical"/>
    <x v="1"/>
    <x v="16"/>
  </r>
  <r>
    <d v="2024-01-26T00:00:00"/>
    <x v="0"/>
    <x v="22"/>
    <x v="1"/>
    <x v="2"/>
    <x v="3"/>
    <s v="one"/>
    <s v="Evening"/>
    <s v="Business"/>
    <n v="11.55"/>
    <n v="41"/>
    <s v="Air Traffic"/>
    <x v="1"/>
    <x v="2"/>
  </r>
  <r>
    <d v="2024-02-05T00:00:00"/>
    <x v="3"/>
    <x v="23"/>
    <x v="1"/>
    <x v="1"/>
    <x v="2"/>
    <s v="zero"/>
    <s v="Morning"/>
    <s v="Economy"/>
    <n v="2.0299999999999998"/>
    <n v="100"/>
    <s v="Weather"/>
    <x v="1"/>
    <x v="1"/>
  </r>
  <r>
    <d v="2024-02-02T00:00:00"/>
    <x v="2"/>
    <x v="24"/>
    <x v="1"/>
    <x v="3"/>
    <x v="1"/>
    <s v="zero"/>
    <s v="Early_Morning"/>
    <s v="Economy"/>
    <n v="8.59"/>
    <n v="0"/>
    <s v="None"/>
    <x v="0"/>
    <x v="4"/>
  </r>
  <r>
    <d v="2024-01-26T00:00:00"/>
    <x v="0"/>
    <x v="25"/>
    <x v="2"/>
    <x v="4"/>
    <x v="1"/>
    <s v="zero"/>
    <s v="Night"/>
    <s v="Economy"/>
    <n v="3.64"/>
    <n v="58"/>
    <s v="Technical"/>
    <x v="1"/>
    <x v="10"/>
  </r>
  <r>
    <d v="2024-01-21T00:00:00"/>
    <x v="4"/>
    <x v="26"/>
    <x v="5"/>
    <x v="2"/>
    <x v="0"/>
    <s v="one"/>
    <s v="Afternoon"/>
    <s v="Business"/>
    <n v="1.6"/>
    <n v="0"/>
    <s v="None"/>
    <x v="0"/>
    <x v="17"/>
  </r>
  <r>
    <d v="2024-02-06T00:00:00"/>
    <x v="0"/>
    <x v="27"/>
    <x v="0"/>
    <x v="5"/>
    <x v="0"/>
    <s v="one"/>
    <s v="Night"/>
    <s v="Economy"/>
    <n v="10.73"/>
    <n v="0"/>
    <s v="None"/>
    <x v="0"/>
    <x v="11"/>
  </r>
  <r>
    <d v="2024-01-19T00:00:00"/>
    <x v="4"/>
    <x v="28"/>
    <x v="4"/>
    <x v="5"/>
    <x v="2"/>
    <s v="zero"/>
    <s v="Night"/>
    <s v="Business"/>
    <n v="11.36"/>
    <n v="0"/>
    <s v="None"/>
    <x v="0"/>
    <x v="8"/>
  </r>
  <r>
    <d v="2024-01-17T00:00:00"/>
    <x v="0"/>
    <x v="29"/>
    <x v="0"/>
    <x v="5"/>
    <x v="0"/>
    <s v="one"/>
    <s v="Afternoon"/>
    <s v="Economy"/>
    <n v="8.7200000000000006"/>
    <n v="96"/>
    <s v="Weather"/>
    <x v="1"/>
    <x v="11"/>
  </r>
  <r>
    <d v="2024-01-17T00:00:00"/>
    <x v="2"/>
    <x v="30"/>
    <x v="4"/>
    <x v="1"/>
    <x v="3"/>
    <s v="one"/>
    <s v="Early_Morning"/>
    <s v="Business"/>
    <n v="5"/>
    <n v="0"/>
    <s v="None"/>
    <x v="0"/>
    <x v="18"/>
  </r>
  <r>
    <d v="2024-02-10T00:00:00"/>
    <x v="1"/>
    <x v="31"/>
    <x v="1"/>
    <x v="2"/>
    <x v="1"/>
    <s v="zero"/>
    <s v="Evening"/>
    <s v="Economy"/>
    <n v="7.23"/>
    <n v="0"/>
    <s v="None"/>
    <x v="0"/>
    <x v="2"/>
  </r>
  <r>
    <d v="2024-01-24T00:00:00"/>
    <x v="2"/>
    <x v="32"/>
    <x v="2"/>
    <x v="4"/>
    <x v="4"/>
    <s v="zero"/>
    <s v="Morning"/>
    <s v="Business"/>
    <n v="10.94"/>
    <n v="0"/>
    <s v="None"/>
    <x v="0"/>
    <x v="10"/>
  </r>
  <r>
    <d v="2024-02-13T00:00:00"/>
    <x v="4"/>
    <x v="33"/>
    <x v="3"/>
    <x v="3"/>
    <x v="2"/>
    <s v="one"/>
    <s v="Night"/>
    <s v="Economy"/>
    <n v="11.75"/>
    <n v="0"/>
    <s v="None"/>
    <x v="0"/>
    <x v="9"/>
  </r>
  <r>
    <d v="2024-01-12T00:00:00"/>
    <x v="3"/>
    <x v="34"/>
    <x v="0"/>
    <x v="1"/>
    <x v="2"/>
    <s v="zero"/>
    <s v="Evening"/>
    <s v="Business"/>
    <n v="5.52"/>
    <n v="0"/>
    <s v="None"/>
    <x v="0"/>
    <x v="7"/>
  </r>
  <r>
    <d v="2024-02-24T00:00:00"/>
    <x v="3"/>
    <x v="35"/>
    <x v="1"/>
    <x v="1"/>
    <x v="4"/>
    <s v="one"/>
    <s v="Afternoon"/>
    <s v="Economy"/>
    <n v="8.43"/>
    <n v="0"/>
    <s v="None"/>
    <x v="0"/>
    <x v="1"/>
  </r>
  <r>
    <d v="2024-01-22T00:00:00"/>
    <x v="1"/>
    <x v="36"/>
    <x v="0"/>
    <x v="0"/>
    <x v="2"/>
    <s v="one"/>
    <s v="Night"/>
    <s v="Business"/>
    <n v="10.71"/>
    <n v="0"/>
    <s v="None"/>
    <x v="0"/>
    <x v="0"/>
  </r>
  <r>
    <d v="2024-01-12T00:00:00"/>
    <x v="2"/>
    <x v="37"/>
    <x v="5"/>
    <x v="3"/>
    <x v="3"/>
    <s v="one"/>
    <s v="Night"/>
    <s v="Business"/>
    <n v="7.87"/>
    <n v="98"/>
    <s v="Technical"/>
    <x v="1"/>
    <x v="19"/>
  </r>
  <r>
    <d v="2024-01-08T00:00:00"/>
    <x v="3"/>
    <x v="38"/>
    <x v="2"/>
    <x v="4"/>
    <x v="2"/>
    <s v="one"/>
    <s v="Early_Morning"/>
    <s v="Economy"/>
    <n v="5.32"/>
    <n v="0"/>
    <s v="None"/>
    <x v="0"/>
    <x v="10"/>
  </r>
  <r>
    <d v="2024-03-01T00:00:00"/>
    <x v="1"/>
    <x v="39"/>
    <x v="2"/>
    <x v="1"/>
    <x v="3"/>
    <s v="one"/>
    <s v="Afternoon"/>
    <s v="Business"/>
    <n v="4.5999999999999996"/>
    <n v="46"/>
    <s v="Air Traffic"/>
    <x v="1"/>
    <x v="3"/>
  </r>
  <r>
    <d v="2024-01-13T00:00:00"/>
    <x v="3"/>
    <x v="40"/>
    <x v="3"/>
    <x v="0"/>
    <x v="0"/>
    <s v="one"/>
    <s v="Night"/>
    <s v="Business"/>
    <n v="4.6900000000000004"/>
    <n v="0"/>
    <s v="None"/>
    <x v="0"/>
    <x v="20"/>
  </r>
  <r>
    <d v="2024-01-28T00:00:00"/>
    <x v="2"/>
    <x v="41"/>
    <x v="2"/>
    <x v="1"/>
    <x v="4"/>
    <s v="one"/>
    <s v="Evening"/>
    <s v="Economy"/>
    <n v="3.28"/>
    <n v="70"/>
    <s v="Air Traffic"/>
    <x v="1"/>
    <x v="3"/>
  </r>
  <r>
    <d v="2024-01-19T00:00:00"/>
    <x v="2"/>
    <x v="42"/>
    <x v="3"/>
    <x v="2"/>
    <x v="2"/>
    <s v="zero"/>
    <s v="Early_Morning"/>
    <s v="Business"/>
    <n v="3.05"/>
    <n v="0"/>
    <s v="None"/>
    <x v="0"/>
    <x v="21"/>
  </r>
  <r>
    <d v="2024-01-16T00:00:00"/>
    <x v="3"/>
    <x v="43"/>
    <x v="2"/>
    <x v="3"/>
    <x v="4"/>
    <s v="zero"/>
    <s v="Evening"/>
    <s v="Business"/>
    <n v="3.05"/>
    <n v="68"/>
    <s v="Weather"/>
    <x v="1"/>
    <x v="22"/>
  </r>
  <r>
    <d v="2024-01-01T00:00:00"/>
    <x v="0"/>
    <x v="44"/>
    <x v="4"/>
    <x v="4"/>
    <x v="0"/>
    <s v="one"/>
    <s v="Night"/>
    <s v="Economy"/>
    <n v="11.13"/>
    <n v="0"/>
    <s v="None"/>
    <x v="0"/>
    <x v="13"/>
  </r>
  <r>
    <d v="2024-01-30T00:00:00"/>
    <x v="4"/>
    <x v="45"/>
    <x v="4"/>
    <x v="5"/>
    <x v="1"/>
    <s v="one"/>
    <s v="Night"/>
    <s v="Business"/>
    <n v="6.18"/>
    <n v="83"/>
    <s v="Air Traffic"/>
    <x v="1"/>
    <x v="8"/>
  </r>
  <r>
    <d v="2024-02-17T00:00:00"/>
    <x v="3"/>
    <x v="46"/>
    <x v="4"/>
    <x v="1"/>
    <x v="0"/>
    <s v="one"/>
    <s v="Afternoon"/>
    <s v="Economy"/>
    <n v="8.99"/>
    <n v="40"/>
    <s v="Weather"/>
    <x v="1"/>
    <x v="18"/>
  </r>
  <r>
    <d v="2024-01-18T00:00:00"/>
    <x v="1"/>
    <x v="47"/>
    <x v="5"/>
    <x v="5"/>
    <x v="3"/>
    <s v="zero"/>
    <s v="Morning"/>
    <s v="Economy"/>
    <n v="8.92"/>
    <n v="0"/>
    <s v="None"/>
    <x v="0"/>
    <x v="23"/>
  </r>
  <r>
    <d v="2024-01-27T00:00:00"/>
    <x v="3"/>
    <x v="48"/>
    <x v="5"/>
    <x v="5"/>
    <x v="4"/>
    <s v="zero"/>
    <s v="Evening"/>
    <s v="Economy"/>
    <n v="11"/>
    <n v="111"/>
    <s v="Technical"/>
    <x v="1"/>
    <x v="23"/>
  </r>
  <r>
    <d v="2024-03-01T00:00:00"/>
    <x v="0"/>
    <x v="49"/>
    <x v="2"/>
    <x v="0"/>
    <x v="4"/>
    <s v="one"/>
    <s v="Early_Morning"/>
    <s v="Business"/>
    <n v="7.15"/>
    <n v="101"/>
    <s v="Technical"/>
    <x v="1"/>
    <x v="14"/>
  </r>
  <r>
    <d v="2024-02-04T00:00:00"/>
    <x v="2"/>
    <x v="50"/>
    <x v="1"/>
    <x v="2"/>
    <x v="0"/>
    <s v="one"/>
    <s v="Afternoon"/>
    <s v="Business"/>
    <n v="8.52"/>
    <n v="8"/>
    <s v="Technical"/>
    <x v="1"/>
    <x v="2"/>
  </r>
  <r>
    <d v="2024-01-26T00:00:00"/>
    <x v="4"/>
    <x v="51"/>
    <x v="4"/>
    <x v="4"/>
    <x v="1"/>
    <s v="zero"/>
    <s v="Night"/>
    <s v="Business"/>
    <n v="2.38"/>
    <n v="0"/>
    <s v="None"/>
    <x v="0"/>
    <x v="13"/>
  </r>
  <r>
    <d v="2024-01-09T00:00:00"/>
    <x v="3"/>
    <x v="52"/>
    <x v="1"/>
    <x v="3"/>
    <x v="2"/>
    <s v="one"/>
    <s v="Evening"/>
    <s v="Economy"/>
    <n v="9.49"/>
    <n v="63"/>
    <s v="Technical"/>
    <x v="1"/>
    <x v="4"/>
  </r>
  <r>
    <d v="2024-01-18T00:00:00"/>
    <x v="3"/>
    <x v="53"/>
    <x v="5"/>
    <x v="3"/>
    <x v="4"/>
    <s v="zero"/>
    <s v="Early_Morning"/>
    <s v="Business"/>
    <n v="9.6999999999999993"/>
    <n v="0"/>
    <s v="None"/>
    <x v="0"/>
    <x v="19"/>
  </r>
  <r>
    <d v="2024-01-03T00:00:00"/>
    <x v="0"/>
    <x v="54"/>
    <x v="1"/>
    <x v="1"/>
    <x v="3"/>
    <s v="zero"/>
    <s v="Night"/>
    <s v="Economy"/>
    <n v="2.7"/>
    <n v="21"/>
    <s v="Air Traffic"/>
    <x v="1"/>
    <x v="1"/>
  </r>
  <r>
    <d v="2024-01-30T00:00:00"/>
    <x v="1"/>
    <x v="55"/>
    <x v="5"/>
    <x v="4"/>
    <x v="1"/>
    <s v="zero"/>
    <s v="Night"/>
    <s v="Economy"/>
    <n v="7.58"/>
    <n v="0"/>
    <s v="None"/>
    <x v="0"/>
    <x v="24"/>
  </r>
  <r>
    <d v="2024-02-06T00:00:00"/>
    <x v="3"/>
    <x v="56"/>
    <x v="4"/>
    <x v="4"/>
    <x v="3"/>
    <s v="zero"/>
    <s v="Night"/>
    <s v="Economy"/>
    <n v="7.8"/>
    <n v="94"/>
    <s v="Air Traffic"/>
    <x v="1"/>
    <x v="13"/>
  </r>
  <r>
    <d v="2024-02-20T00:00:00"/>
    <x v="2"/>
    <x v="57"/>
    <x v="0"/>
    <x v="0"/>
    <x v="1"/>
    <s v="one"/>
    <s v="Evening"/>
    <s v="Economy"/>
    <n v="10.42"/>
    <n v="69"/>
    <s v="Weather"/>
    <x v="1"/>
    <x v="0"/>
  </r>
  <r>
    <d v="2024-02-01T00:00:00"/>
    <x v="0"/>
    <x v="58"/>
    <x v="4"/>
    <x v="1"/>
    <x v="4"/>
    <s v="one"/>
    <s v="Morning"/>
    <s v="Economy"/>
    <n v="9.99"/>
    <n v="98"/>
    <s v="Air Traffic"/>
    <x v="1"/>
    <x v="18"/>
  </r>
  <r>
    <d v="2024-02-19T00:00:00"/>
    <x v="3"/>
    <x v="59"/>
    <x v="4"/>
    <x v="2"/>
    <x v="1"/>
    <s v="one"/>
    <s v="Afternoon"/>
    <s v="Economy"/>
    <n v="4.43"/>
    <n v="0"/>
    <s v="None"/>
    <x v="0"/>
    <x v="25"/>
  </r>
  <r>
    <d v="2024-01-16T00:00:00"/>
    <x v="3"/>
    <x v="60"/>
    <x v="2"/>
    <x v="5"/>
    <x v="4"/>
    <s v="zero"/>
    <s v="Afternoon"/>
    <s v="Business"/>
    <n v="6.62"/>
    <n v="113"/>
    <s v="Weather"/>
    <x v="1"/>
    <x v="26"/>
  </r>
  <r>
    <d v="2024-02-21T00:00:00"/>
    <x v="1"/>
    <x v="61"/>
    <x v="5"/>
    <x v="0"/>
    <x v="1"/>
    <s v="zero"/>
    <s v="Afternoon"/>
    <s v="Economy"/>
    <n v="9.06"/>
    <n v="0"/>
    <s v="None"/>
    <x v="0"/>
    <x v="27"/>
  </r>
  <r>
    <d v="2024-02-05T00:00:00"/>
    <x v="4"/>
    <x v="62"/>
    <x v="3"/>
    <x v="0"/>
    <x v="4"/>
    <s v="zero"/>
    <s v="Evening"/>
    <s v="Economy"/>
    <n v="5.75"/>
    <n v="0"/>
    <s v="None"/>
    <x v="0"/>
    <x v="20"/>
  </r>
  <r>
    <d v="2024-01-20T00:00:00"/>
    <x v="2"/>
    <x v="63"/>
    <x v="5"/>
    <x v="2"/>
    <x v="1"/>
    <s v="one"/>
    <s v="Night"/>
    <s v="Business"/>
    <n v="8.8800000000000008"/>
    <n v="100"/>
    <s v="Technical"/>
    <x v="1"/>
    <x v="17"/>
  </r>
  <r>
    <d v="2024-01-20T00:00:00"/>
    <x v="1"/>
    <x v="64"/>
    <x v="1"/>
    <x v="3"/>
    <x v="0"/>
    <s v="zero"/>
    <s v="Afternoon"/>
    <s v="Economy"/>
    <n v="9.26"/>
    <n v="0"/>
    <s v="None"/>
    <x v="0"/>
    <x v="4"/>
  </r>
  <r>
    <d v="2024-02-16T00:00:00"/>
    <x v="2"/>
    <x v="65"/>
    <x v="2"/>
    <x v="5"/>
    <x v="2"/>
    <s v="zero"/>
    <s v="Early_Morning"/>
    <s v="Business"/>
    <n v="4.67"/>
    <n v="34"/>
    <s v="Weather"/>
    <x v="1"/>
    <x v="26"/>
  </r>
  <r>
    <d v="2024-02-04T00:00:00"/>
    <x v="4"/>
    <x v="66"/>
    <x v="5"/>
    <x v="3"/>
    <x v="3"/>
    <s v="one"/>
    <s v="Night"/>
    <s v="Economy"/>
    <n v="10.66"/>
    <n v="86"/>
    <s v="Weather"/>
    <x v="1"/>
    <x v="19"/>
  </r>
  <r>
    <d v="2024-01-19T00:00:00"/>
    <x v="3"/>
    <x v="67"/>
    <x v="4"/>
    <x v="2"/>
    <x v="2"/>
    <s v="zero"/>
    <s v="Morning"/>
    <s v="Business"/>
    <n v="10.130000000000001"/>
    <n v="115"/>
    <s v="Weather"/>
    <x v="1"/>
    <x v="25"/>
  </r>
  <r>
    <d v="2024-02-01T00:00:00"/>
    <x v="0"/>
    <x v="68"/>
    <x v="2"/>
    <x v="3"/>
    <x v="0"/>
    <s v="one"/>
    <s v="Morning"/>
    <s v="Economy"/>
    <n v="7.36"/>
    <n v="0"/>
    <s v="None"/>
    <x v="0"/>
    <x v="22"/>
  </r>
  <r>
    <d v="2024-02-08T00:00:00"/>
    <x v="2"/>
    <x v="69"/>
    <x v="2"/>
    <x v="4"/>
    <x v="1"/>
    <s v="one"/>
    <s v="Evening"/>
    <s v="Business"/>
    <n v="7.47"/>
    <n v="43"/>
    <s v="Technical"/>
    <x v="1"/>
    <x v="10"/>
  </r>
  <r>
    <d v="2024-02-09T00:00:00"/>
    <x v="0"/>
    <x v="70"/>
    <x v="1"/>
    <x v="1"/>
    <x v="2"/>
    <s v="zero"/>
    <s v="Early_Morning"/>
    <s v="Economy"/>
    <n v="3.14"/>
    <n v="0"/>
    <s v="None"/>
    <x v="0"/>
    <x v="1"/>
  </r>
  <r>
    <d v="2024-01-29T00:00:00"/>
    <x v="2"/>
    <x v="71"/>
    <x v="4"/>
    <x v="1"/>
    <x v="3"/>
    <s v="one"/>
    <s v="Morning"/>
    <s v="Business"/>
    <n v="8.7200000000000006"/>
    <n v="94"/>
    <s v="Weather"/>
    <x v="1"/>
    <x v="18"/>
  </r>
  <r>
    <d v="2024-02-20T00:00:00"/>
    <x v="2"/>
    <x v="72"/>
    <x v="3"/>
    <x v="4"/>
    <x v="4"/>
    <s v="zero"/>
    <s v="Early_Morning"/>
    <s v="Economy"/>
    <n v="2.25"/>
    <n v="0"/>
    <s v="None"/>
    <x v="0"/>
    <x v="6"/>
  </r>
  <r>
    <d v="2024-02-20T00:00:00"/>
    <x v="1"/>
    <x v="73"/>
    <x v="2"/>
    <x v="5"/>
    <x v="2"/>
    <s v="zero"/>
    <s v="Evening"/>
    <s v="Business"/>
    <n v="5.73"/>
    <n v="93"/>
    <s v="Air Traffic"/>
    <x v="1"/>
    <x v="26"/>
  </r>
  <r>
    <d v="2024-02-02T00:00:00"/>
    <x v="2"/>
    <x v="74"/>
    <x v="4"/>
    <x v="2"/>
    <x v="3"/>
    <s v="zero"/>
    <s v="Night"/>
    <s v="Business"/>
    <n v="4.13"/>
    <n v="99"/>
    <s v="Air Traffic"/>
    <x v="1"/>
    <x v="25"/>
  </r>
  <r>
    <d v="2024-01-15T00:00:00"/>
    <x v="2"/>
    <x v="75"/>
    <x v="2"/>
    <x v="3"/>
    <x v="2"/>
    <s v="zero"/>
    <s v="Night"/>
    <s v="Economy"/>
    <n v="3.41"/>
    <n v="65"/>
    <s v="Technical"/>
    <x v="1"/>
    <x v="22"/>
  </r>
  <r>
    <d v="2024-01-28T00:00:00"/>
    <x v="3"/>
    <x v="76"/>
    <x v="0"/>
    <x v="2"/>
    <x v="2"/>
    <s v="one"/>
    <s v="Evening"/>
    <s v="Business"/>
    <n v="10.51"/>
    <n v="0"/>
    <s v="None"/>
    <x v="0"/>
    <x v="12"/>
  </r>
  <r>
    <d v="2024-01-27T00:00:00"/>
    <x v="3"/>
    <x v="77"/>
    <x v="5"/>
    <x v="2"/>
    <x v="1"/>
    <s v="one"/>
    <s v="Early_Morning"/>
    <s v="Economy"/>
    <n v="2.72"/>
    <n v="45"/>
    <s v="Technical"/>
    <x v="1"/>
    <x v="17"/>
  </r>
  <r>
    <d v="2024-01-26T00:00:00"/>
    <x v="2"/>
    <x v="78"/>
    <x v="0"/>
    <x v="5"/>
    <x v="4"/>
    <s v="zero"/>
    <s v="Evening"/>
    <s v="Economy"/>
    <n v="9.44"/>
    <n v="71"/>
    <s v="Air Traffic"/>
    <x v="1"/>
    <x v="11"/>
  </r>
  <r>
    <d v="2024-01-29T00:00:00"/>
    <x v="0"/>
    <x v="79"/>
    <x v="1"/>
    <x v="0"/>
    <x v="1"/>
    <s v="one"/>
    <s v="Morning"/>
    <s v="Business"/>
    <n v="1.8"/>
    <n v="117"/>
    <s v="Weather"/>
    <x v="1"/>
    <x v="28"/>
  </r>
  <r>
    <d v="2024-02-08T00:00:00"/>
    <x v="4"/>
    <x v="80"/>
    <x v="3"/>
    <x v="4"/>
    <x v="2"/>
    <s v="zero"/>
    <s v="Night"/>
    <s v="Business"/>
    <n v="11.92"/>
    <n v="0"/>
    <s v="None"/>
    <x v="0"/>
    <x v="6"/>
  </r>
  <r>
    <d v="2024-01-30T00:00:00"/>
    <x v="0"/>
    <x v="81"/>
    <x v="3"/>
    <x v="4"/>
    <x v="4"/>
    <s v="one"/>
    <s v="Afternoon"/>
    <s v="Business"/>
    <n v="4.0599999999999996"/>
    <n v="111"/>
    <s v="Technical"/>
    <x v="1"/>
    <x v="6"/>
  </r>
  <r>
    <d v="2024-01-10T00:00:00"/>
    <x v="3"/>
    <x v="82"/>
    <x v="1"/>
    <x v="5"/>
    <x v="1"/>
    <s v="zero"/>
    <s v="Morning"/>
    <s v="Business"/>
    <n v="11.31"/>
    <n v="103"/>
    <s v="Technical"/>
    <x v="1"/>
    <x v="29"/>
  </r>
  <r>
    <d v="2024-01-18T00:00:00"/>
    <x v="0"/>
    <x v="83"/>
    <x v="5"/>
    <x v="0"/>
    <x v="1"/>
    <s v="one"/>
    <s v="Night"/>
    <s v="Economy"/>
    <n v="4.99"/>
    <n v="62"/>
    <s v="Technical"/>
    <x v="1"/>
    <x v="27"/>
  </r>
  <r>
    <d v="2024-02-04T00:00:00"/>
    <x v="3"/>
    <x v="84"/>
    <x v="4"/>
    <x v="1"/>
    <x v="0"/>
    <s v="one"/>
    <s v="Morning"/>
    <s v="Economy"/>
    <n v="4.84"/>
    <n v="114"/>
    <s v="Weather"/>
    <x v="1"/>
    <x v="18"/>
  </r>
  <r>
    <d v="2024-02-15T00:00:00"/>
    <x v="3"/>
    <x v="85"/>
    <x v="4"/>
    <x v="4"/>
    <x v="4"/>
    <s v="zero"/>
    <s v="Early_Morning"/>
    <s v="Business"/>
    <n v="10.68"/>
    <n v="0"/>
    <s v="None"/>
    <x v="0"/>
    <x v="13"/>
  </r>
  <r>
    <d v="2024-01-07T00:00:00"/>
    <x v="2"/>
    <x v="86"/>
    <x v="4"/>
    <x v="3"/>
    <x v="0"/>
    <s v="zero"/>
    <s v="Evening"/>
    <s v="Economy"/>
    <n v="8.0399999999999991"/>
    <n v="65"/>
    <s v="Technical"/>
    <x v="1"/>
    <x v="15"/>
  </r>
  <r>
    <d v="2024-02-11T00:00:00"/>
    <x v="0"/>
    <x v="87"/>
    <x v="5"/>
    <x v="5"/>
    <x v="4"/>
    <s v="one"/>
    <s v="Afternoon"/>
    <s v="Economy"/>
    <n v="3.97"/>
    <n v="0"/>
    <s v="None"/>
    <x v="0"/>
    <x v="23"/>
  </r>
  <r>
    <d v="2024-02-28T00:00:00"/>
    <x v="1"/>
    <x v="88"/>
    <x v="1"/>
    <x v="3"/>
    <x v="4"/>
    <s v="zero"/>
    <s v="Early_Morning"/>
    <s v="Business"/>
    <n v="1.98"/>
    <n v="26"/>
    <s v="Weather"/>
    <x v="1"/>
    <x v="4"/>
  </r>
  <r>
    <d v="2024-01-04T00:00:00"/>
    <x v="1"/>
    <x v="89"/>
    <x v="5"/>
    <x v="0"/>
    <x v="4"/>
    <s v="zero"/>
    <s v="Morning"/>
    <s v="Business"/>
    <n v="3.28"/>
    <n v="0"/>
    <s v="None"/>
    <x v="0"/>
    <x v="27"/>
  </r>
  <r>
    <d v="2024-02-09T00:00:00"/>
    <x v="3"/>
    <x v="90"/>
    <x v="2"/>
    <x v="4"/>
    <x v="4"/>
    <s v="zero"/>
    <s v="Night"/>
    <s v="Economy"/>
    <n v="4.18"/>
    <n v="64"/>
    <s v="Technical"/>
    <x v="1"/>
    <x v="10"/>
  </r>
  <r>
    <d v="2024-02-27T00:00:00"/>
    <x v="3"/>
    <x v="91"/>
    <x v="5"/>
    <x v="5"/>
    <x v="0"/>
    <s v="one"/>
    <s v="Early_Morning"/>
    <s v="Business"/>
    <n v="11.6"/>
    <n v="80"/>
    <s v="Air Traffic"/>
    <x v="1"/>
    <x v="23"/>
  </r>
  <r>
    <d v="2024-01-17T00:00:00"/>
    <x v="3"/>
    <x v="92"/>
    <x v="5"/>
    <x v="4"/>
    <x v="4"/>
    <s v="zero"/>
    <s v="Evening"/>
    <s v="Economy"/>
    <n v="4.6100000000000003"/>
    <n v="53"/>
    <s v="Air Traffic"/>
    <x v="1"/>
    <x v="24"/>
  </r>
  <r>
    <d v="2024-01-19T00:00:00"/>
    <x v="0"/>
    <x v="93"/>
    <x v="3"/>
    <x v="0"/>
    <x v="2"/>
    <s v="zero"/>
    <s v="Early_Morning"/>
    <s v="Business"/>
    <n v="7.87"/>
    <n v="111"/>
    <s v="Weather"/>
    <x v="1"/>
    <x v="20"/>
  </r>
  <r>
    <d v="2024-01-15T00:00:00"/>
    <x v="4"/>
    <x v="94"/>
    <x v="2"/>
    <x v="1"/>
    <x v="0"/>
    <s v="zero"/>
    <s v="Early_Morning"/>
    <s v="Business"/>
    <n v="7.59"/>
    <n v="105"/>
    <s v="Weather"/>
    <x v="1"/>
    <x v="3"/>
  </r>
  <r>
    <d v="2024-01-09T00:00:00"/>
    <x v="0"/>
    <x v="95"/>
    <x v="5"/>
    <x v="0"/>
    <x v="4"/>
    <s v="zero"/>
    <s v="Morning"/>
    <s v="Economy"/>
    <n v="6.77"/>
    <n v="105"/>
    <s v="Air Traffic"/>
    <x v="1"/>
    <x v="27"/>
  </r>
  <r>
    <d v="2024-02-23T00:00:00"/>
    <x v="4"/>
    <x v="96"/>
    <x v="5"/>
    <x v="2"/>
    <x v="2"/>
    <s v="zero"/>
    <s v="Afternoon"/>
    <s v="Business"/>
    <n v="9.42"/>
    <n v="0"/>
    <s v="None"/>
    <x v="0"/>
    <x v="17"/>
  </r>
  <r>
    <d v="2024-02-25T00:00:00"/>
    <x v="3"/>
    <x v="97"/>
    <x v="2"/>
    <x v="1"/>
    <x v="3"/>
    <s v="zero"/>
    <s v="Evening"/>
    <s v="Business"/>
    <n v="6.28"/>
    <n v="0"/>
    <s v="None"/>
    <x v="0"/>
    <x v="3"/>
  </r>
  <r>
    <d v="2024-02-17T00:00:00"/>
    <x v="1"/>
    <x v="98"/>
    <x v="2"/>
    <x v="0"/>
    <x v="2"/>
    <s v="zero"/>
    <s v="Early_Morning"/>
    <s v="Business"/>
    <n v="3.82"/>
    <n v="8"/>
    <s v="Air Traffic"/>
    <x v="1"/>
    <x v="14"/>
  </r>
  <r>
    <d v="2024-02-10T00:00:00"/>
    <x v="3"/>
    <x v="46"/>
    <x v="3"/>
    <x v="1"/>
    <x v="4"/>
    <s v="zero"/>
    <s v="Early_Morning"/>
    <s v="Economy"/>
    <n v="2.72"/>
    <n v="9"/>
    <s v="Technical"/>
    <x v="1"/>
    <x v="5"/>
  </r>
  <r>
    <d v="2024-02-26T00:00:00"/>
    <x v="2"/>
    <x v="99"/>
    <x v="1"/>
    <x v="2"/>
    <x v="4"/>
    <s v="one"/>
    <s v="Afternoon"/>
    <s v="Economy"/>
    <n v="2.54"/>
    <n v="118"/>
    <s v="Air Traffic"/>
    <x v="1"/>
    <x v="2"/>
  </r>
  <r>
    <d v="2024-02-09T00:00:00"/>
    <x v="3"/>
    <x v="100"/>
    <x v="5"/>
    <x v="3"/>
    <x v="2"/>
    <s v="one"/>
    <s v="Morning"/>
    <s v="Business"/>
    <n v="11.8"/>
    <n v="35"/>
    <s v="Weather"/>
    <x v="1"/>
    <x v="19"/>
  </r>
  <r>
    <d v="2024-02-04T00:00:00"/>
    <x v="1"/>
    <x v="101"/>
    <x v="0"/>
    <x v="2"/>
    <x v="2"/>
    <s v="zero"/>
    <s v="Morning"/>
    <s v="Business"/>
    <n v="8.24"/>
    <n v="0"/>
    <s v="None"/>
    <x v="0"/>
    <x v="12"/>
  </r>
  <r>
    <d v="2024-01-02T00:00:00"/>
    <x v="0"/>
    <x v="102"/>
    <x v="5"/>
    <x v="4"/>
    <x v="0"/>
    <s v="zero"/>
    <s v="Night"/>
    <s v="Economy"/>
    <n v="7.66"/>
    <n v="0"/>
    <s v="None"/>
    <x v="0"/>
    <x v="24"/>
  </r>
  <r>
    <d v="2024-02-25T00:00:00"/>
    <x v="4"/>
    <x v="103"/>
    <x v="5"/>
    <x v="4"/>
    <x v="1"/>
    <s v="one"/>
    <s v="Early_Morning"/>
    <s v="Economy"/>
    <n v="2.65"/>
    <n v="21"/>
    <s v="Weather"/>
    <x v="1"/>
    <x v="24"/>
  </r>
  <r>
    <d v="2024-01-02T00:00:00"/>
    <x v="4"/>
    <x v="104"/>
    <x v="0"/>
    <x v="0"/>
    <x v="0"/>
    <s v="one"/>
    <s v="Night"/>
    <s v="Economy"/>
    <n v="2.83"/>
    <n v="27"/>
    <s v="Weather"/>
    <x v="1"/>
    <x v="0"/>
  </r>
  <r>
    <d v="2024-02-03T00:00:00"/>
    <x v="0"/>
    <x v="105"/>
    <x v="3"/>
    <x v="3"/>
    <x v="4"/>
    <s v="one"/>
    <s v="Evening"/>
    <s v="Economy"/>
    <n v="11.43"/>
    <n v="0"/>
    <s v="None"/>
    <x v="0"/>
    <x v="9"/>
  </r>
  <r>
    <d v="2024-02-16T00:00:00"/>
    <x v="2"/>
    <x v="106"/>
    <x v="5"/>
    <x v="2"/>
    <x v="3"/>
    <s v="one"/>
    <s v="Early_Morning"/>
    <s v="Business"/>
    <n v="6.65"/>
    <n v="0"/>
    <s v="None"/>
    <x v="0"/>
    <x v="17"/>
  </r>
  <r>
    <d v="2024-01-05T00:00:00"/>
    <x v="0"/>
    <x v="107"/>
    <x v="5"/>
    <x v="5"/>
    <x v="0"/>
    <s v="zero"/>
    <s v="Early_Morning"/>
    <s v="Business"/>
    <n v="11.94"/>
    <n v="84"/>
    <s v="Technical"/>
    <x v="1"/>
    <x v="23"/>
  </r>
  <r>
    <d v="2024-01-19T00:00:00"/>
    <x v="3"/>
    <x v="108"/>
    <x v="2"/>
    <x v="5"/>
    <x v="4"/>
    <s v="zero"/>
    <s v="Early_Morning"/>
    <s v="Economy"/>
    <n v="5.85"/>
    <n v="60"/>
    <s v="Weather"/>
    <x v="1"/>
    <x v="26"/>
  </r>
  <r>
    <d v="2024-01-30T00:00:00"/>
    <x v="3"/>
    <x v="109"/>
    <x v="4"/>
    <x v="3"/>
    <x v="2"/>
    <s v="one"/>
    <s v="Evening"/>
    <s v="Business"/>
    <n v="8.7100000000000009"/>
    <n v="0"/>
    <s v="None"/>
    <x v="0"/>
    <x v="15"/>
  </r>
  <r>
    <d v="2024-01-05T00:00:00"/>
    <x v="0"/>
    <x v="110"/>
    <x v="0"/>
    <x v="4"/>
    <x v="4"/>
    <s v="one"/>
    <s v="Early_Morning"/>
    <s v="Economy"/>
    <n v="7.66"/>
    <n v="0"/>
    <s v="None"/>
    <x v="0"/>
    <x v="16"/>
  </r>
  <r>
    <d v="2024-02-05T00:00:00"/>
    <x v="1"/>
    <x v="111"/>
    <x v="3"/>
    <x v="3"/>
    <x v="4"/>
    <s v="one"/>
    <s v="Afternoon"/>
    <s v="Economy"/>
    <n v="2.59"/>
    <n v="41"/>
    <s v="Technical"/>
    <x v="1"/>
    <x v="9"/>
  </r>
  <r>
    <d v="2024-01-14T00:00:00"/>
    <x v="4"/>
    <x v="112"/>
    <x v="3"/>
    <x v="0"/>
    <x v="0"/>
    <s v="one"/>
    <s v="Early_Morning"/>
    <s v="Business"/>
    <n v="3.87"/>
    <n v="19"/>
    <s v="Air Traffic"/>
    <x v="1"/>
    <x v="20"/>
  </r>
  <r>
    <d v="2024-02-24T00:00:00"/>
    <x v="2"/>
    <x v="113"/>
    <x v="2"/>
    <x v="5"/>
    <x v="1"/>
    <s v="one"/>
    <s v="Early_Morning"/>
    <s v="Economy"/>
    <n v="9.51"/>
    <n v="28"/>
    <s v="Air Traffic"/>
    <x v="1"/>
    <x v="26"/>
  </r>
  <r>
    <d v="2024-01-23T00:00:00"/>
    <x v="0"/>
    <x v="107"/>
    <x v="1"/>
    <x v="1"/>
    <x v="1"/>
    <s v="zero"/>
    <s v="Evening"/>
    <s v="Economy"/>
    <n v="2.46"/>
    <n v="0"/>
    <s v="None"/>
    <x v="0"/>
    <x v="1"/>
  </r>
  <r>
    <d v="2024-01-14T00:00:00"/>
    <x v="3"/>
    <x v="114"/>
    <x v="4"/>
    <x v="2"/>
    <x v="2"/>
    <s v="one"/>
    <s v="Morning"/>
    <s v="Business"/>
    <n v="7.76"/>
    <n v="97"/>
    <s v="Air Traffic"/>
    <x v="1"/>
    <x v="25"/>
  </r>
  <r>
    <d v="2024-01-10T00:00:00"/>
    <x v="4"/>
    <x v="115"/>
    <x v="2"/>
    <x v="3"/>
    <x v="3"/>
    <s v="one"/>
    <s v="Afternoon"/>
    <s v="Business"/>
    <n v="4.37"/>
    <n v="67"/>
    <s v="Technical"/>
    <x v="1"/>
    <x v="22"/>
  </r>
  <r>
    <d v="2024-02-02T00:00:00"/>
    <x v="0"/>
    <x v="116"/>
    <x v="5"/>
    <x v="2"/>
    <x v="3"/>
    <s v="one"/>
    <s v="Afternoon"/>
    <s v="Business"/>
    <n v="5.65"/>
    <n v="0"/>
    <s v="None"/>
    <x v="0"/>
    <x v="17"/>
  </r>
  <r>
    <d v="2024-01-04T00:00:00"/>
    <x v="0"/>
    <x v="117"/>
    <x v="1"/>
    <x v="0"/>
    <x v="0"/>
    <s v="one"/>
    <s v="Morning"/>
    <s v="Business"/>
    <n v="1.58"/>
    <n v="0"/>
    <s v="None"/>
    <x v="0"/>
    <x v="28"/>
  </r>
  <r>
    <d v="2024-01-28T00:00:00"/>
    <x v="4"/>
    <x v="118"/>
    <x v="1"/>
    <x v="2"/>
    <x v="1"/>
    <s v="one"/>
    <s v="Morning"/>
    <s v="Economy"/>
    <n v="6.08"/>
    <n v="0"/>
    <s v="None"/>
    <x v="0"/>
    <x v="2"/>
  </r>
  <r>
    <d v="2024-02-28T00:00:00"/>
    <x v="0"/>
    <x v="119"/>
    <x v="5"/>
    <x v="5"/>
    <x v="4"/>
    <s v="one"/>
    <s v="Night"/>
    <s v="Business"/>
    <n v="5.75"/>
    <n v="0"/>
    <s v="None"/>
    <x v="0"/>
    <x v="23"/>
  </r>
  <r>
    <d v="2024-01-11T00:00:00"/>
    <x v="2"/>
    <x v="120"/>
    <x v="4"/>
    <x v="1"/>
    <x v="3"/>
    <s v="zero"/>
    <s v="Evening"/>
    <s v="Economy"/>
    <n v="2.33"/>
    <n v="60"/>
    <s v="Air Traffic"/>
    <x v="1"/>
    <x v="18"/>
  </r>
  <r>
    <d v="2024-01-20T00:00:00"/>
    <x v="1"/>
    <x v="121"/>
    <x v="1"/>
    <x v="0"/>
    <x v="0"/>
    <s v="zero"/>
    <s v="Early_Morning"/>
    <s v="Economy"/>
    <n v="9.14"/>
    <n v="120"/>
    <s v="Technical"/>
    <x v="1"/>
    <x v="28"/>
  </r>
  <r>
    <d v="2024-02-11T00:00:00"/>
    <x v="4"/>
    <x v="122"/>
    <x v="1"/>
    <x v="3"/>
    <x v="0"/>
    <s v="zero"/>
    <s v="Afternoon"/>
    <s v="Economy"/>
    <n v="9.48"/>
    <n v="0"/>
    <s v="None"/>
    <x v="0"/>
    <x v="4"/>
  </r>
  <r>
    <d v="2024-01-05T00:00:00"/>
    <x v="4"/>
    <x v="123"/>
    <x v="3"/>
    <x v="0"/>
    <x v="4"/>
    <s v="one"/>
    <s v="Night"/>
    <s v="Business"/>
    <n v="6.12"/>
    <n v="115"/>
    <s v="Weather"/>
    <x v="1"/>
    <x v="20"/>
  </r>
  <r>
    <d v="2024-01-29T00:00:00"/>
    <x v="1"/>
    <x v="124"/>
    <x v="5"/>
    <x v="5"/>
    <x v="3"/>
    <s v="zero"/>
    <s v="Afternoon"/>
    <s v="Business"/>
    <n v="2.1"/>
    <n v="64"/>
    <s v="Weather"/>
    <x v="1"/>
    <x v="23"/>
  </r>
  <r>
    <d v="2024-01-19T00:00:00"/>
    <x v="0"/>
    <x v="125"/>
    <x v="3"/>
    <x v="3"/>
    <x v="1"/>
    <s v="one"/>
    <s v="Night"/>
    <s v="Business"/>
    <n v="6.22"/>
    <n v="0"/>
    <s v="None"/>
    <x v="0"/>
    <x v="9"/>
  </r>
  <r>
    <d v="2024-02-06T00:00:00"/>
    <x v="4"/>
    <x v="126"/>
    <x v="5"/>
    <x v="5"/>
    <x v="4"/>
    <s v="zero"/>
    <s v="Night"/>
    <s v="Economy"/>
    <n v="10.02"/>
    <n v="0"/>
    <s v="None"/>
    <x v="0"/>
    <x v="23"/>
  </r>
  <r>
    <d v="2024-01-22T00:00:00"/>
    <x v="0"/>
    <x v="127"/>
    <x v="2"/>
    <x v="4"/>
    <x v="3"/>
    <s v="one"/>
    <s v="Morning"/>
    <s v="Business"/>
    <n v="5.32"/>
    <n v="0"/>
    <s v="None"/>
    <x v="0"/>
    <x v="10"/>
  </r>
  <r>
    <d v="2024-01-25T00:00:00"/>
    <x v="3"/>
    <x v="128"/>
    <x v="5"/>
    <x v="5"/>
    <x v="3"/>
    <s v="zero"/>
    <s v="Afternoon"/>
    <s v="Business"/>
    <n v="4.1500000000000004"/>
    <n v="17"/>
    <s v="Technical"/>
    <x v="1"/>
    <x v="23"/>
  </r>
  <r>
    <d v="2024-02-12T00:00:00"/>
    <x v="2"/>
    <x v="41"/>
    <x v="1"/>
    <x v="0"/>
    <x v="3"/>
    <s v="zero"/>
    <s v="Night"/>
    <s v="Business"/>
    <n v="7.75"/>
    <n v="44"/>
    <s v="Weather"/>
    <x v="1"/>
    <x v="28"/>
  </r>
  <r>
    <d v="2024-01-20T00:00:00"/>
    <x v="2"/>
    <x v="129"/>
    <x v="4"/>
    <x v="1"/>
    <x v="0"/>
    <s v="zero"/>
    <s v="Night"/>
    <s v="Business"/>
    <n v="5.31"/>
    <n v="70"/>
    <s v="Weather"/>
    <x v="1"/>
    <x v="18"/>
  </r>
  <r>
    <d v="2024-03-01T00:00:00"/>
    <x v="4"/>
    <x v="130"/>
    <x v="5"/>
    <x v="2"/>
    <x v="0"/>
    <s v="zero"/>
    <s v="Morning"/>
    <s v="Economy"/>
    <n v="6.83"/>
    <n v="14"/>
    <s v="Weather"/>
    <x v="1"/>
    <x v="17"/>
  </r>
  <r>
    <d v="2024-02-23T00:00:00"/>
    <x v="2"/>
    <x v="131"/>
    <x v="0"/>
    <x v="0"/>
    <x v="1"/>
    <s v="one"/>
    <s v="Morning"/>
    <s v="Economy"/>
    <n v="10.23"/>
    <n v="0"/>
    <s v="None"/>
    <x v="0"/>
    <x v="0"/>
  </r>
  <r>
    <d v="2024-02-09T00:00:00"/>
    <x v="4"/>
    <x v="132"/>
    <x v="3"/>
    <x v="0"/>
    <x v="3"/>
    <s v="one"/>
    <s v="Evening"/>
    <s v="Economy"/>
    <n v="9.73"/>
    <n v="61"/>
    <s v="Air Traffic"/>
    <x v="1"/>
    <x v="20"/>
  </r>
  <r>
    <d v="2024-02-04T00:00:00"/>
    <x v="4"/>
    <x v="133"/>
    <x v="5"/>
    <x v="2"/>
    <x v="0"/>
    <s v="one"/>
    <s v="Afternoon"/>
    <s v="Business"/>
    <n v="6.78"/>
    <n v="103"/>
    <s v="Technical"/>
    <x v="1"/>
    <x v="17"/>
  </r>
  <r>
    <d v="2024-01-11T00:00:00"/>
    <x v="4"/>
    <x v="134"/>
    <x v="2"/>
    <x v="4"/>
    <x v="2"/>
    <s v="one"/>
    <s v="Early_Morning"/>
    <s v="Business"/>
    <n v="8.9700000000000006"/>
    <n v="0"/>
    <s v="None"/>
    <x v="0"/>
    <x v="10"/>
  </r>
  <r>
    <d v="2024-02-24T00:00:00"/>
    <x v="0"/>
    <x v="135"/>
    <x v="5"/>
    <x v="3"/>
    <x v="0"/>
    <s v="one"/>
    <s v="Afternoon"/>
    <s v="Economy"/>
    <n v="11.44"/>
    <n v="111"/>
    <s v="Weather"/>
    <x v="1"/>
    <x v="19"/>
  </r>
  <r>
    <d v="2024-02-22T00:00:00"/>
    <x v="3"/>
    <x v="136"/>
    <x v="5"/>
    <x v="3"/>
    <x v="4"/>
    <s v="one"/>
    <s v="Early_Morning"/>
    <s v="Business"/>
    <n v="5.44"/>
    <n v="35"/>
    <s v="Weather"/>
    <x v="1"/>
    <x v="19"/>
  </r>
  <r>
    <d v="2024-01-21T00:00:00"/>
    <x v="0"/>
    <x v="137"/>
    <x v="3"/>
    <x v="1"/>
    <x v="0"/>
    <s v="zero"/>
    <s v="Morning"/>
    <s v="Business"/>
    <n v="10.23"/>
    <n v="111"/>
    <s v="Air Traffic"/>
    <x v="1"/>
    <x v="5"/>
  </r>
  <r>
    <d v="2024-02-15T00:00:00"/>
    <x v="3"/>
    <x v="138"/>
    <x v="4"/>
    <x v="5"/>
    <x v="3"/>
    <s v="zero"/>
    <s v="Early_Morning"/>
    <s v="Business"/>
    <n v="7.26"/>
    <n v="0"/>
    <s v="None"/>
    <x v="0"/>
    <x v="8"/>
  </r>
  <r>
    <d v="2024-02-08T00:00:00"/>
    <x v="2"/>
    <x v="139"/>
    <x v="4"/>
    <x v="3"/>
    <x v="2"/>
    <s v="one"/>
    <s v="Morning"/>
    <s v="Economy"/>
    <n v="5.91"/>
    <n v="0"/>
    <s v="None"/>
    <x v="0"/>
    <x v="15"/>
  </r>
  <r>
    <d v="2024-02-09T00:00:00"/>
    <x v="3"/>
    <x v="140"/>
    <x v="0"/>
    <x v="4"/>
    <x v="4"/>
    <s v="zero"/>
    <s v="Night"/>
    <s v="Economy"/>
    <n v="4.5599999999999996"/>
    <n v="0"/>
    <s v="None"/>
    <x v="0"/>
    <x v="16"/>
  </r>
  <r>
    <d v="2024-02-09T00:00:00"/>
    <x v="1"/>
    <x v="141"/>
    <x v="1"/>
    <x v="5"/>
    <x v="4"/>
    <s v="zero"/>
    <s v="Morning"/>
    <s v="Business"/>
    <n v="5.6"/>
    <n v="0"/>
    <s v="None"/>
    <x v="0"/>
    <x v="29"/>
  </r>
  <r>
    <d v="2024-01-03T00:00:00"/>
    <x v="3"/>
    <x v="142"/>
    <x v="5"/>
    <x v="0"/>
    <x v="3"/>
    <s v="zero"/>
    <s v="Afternoon"/>
    <s v="Business"/>
    <n v="9.6"/>
    <n v="0"/>
    <s v="None"/>
    <x v="0"/>
    <x v="27"/>
  </r>
  <r>
    <d v="2024-02-18T00:00:00"/>
    <x v="1"/>
    <x v="143"/>
    <x v="1"/>
    <x v="3"/>
    <x v="2"/>
    <s v="one"/>
    <s v="Night"/>
    <s v="Economy"/>
    <n v="6.52"/>
    <n v="111"/>
    <s v="Air Traffic"/>
    <x v="1"/>
    <x v="4"/>
  </r>
  <r>
    <d v="2024-02-21T00:00:00"/>
    <x v="4"/>
    <x v="144"/>
    <x v="0"/>
    <x v="2"/>
    <x v="3"/>
    <s v="zero"/>
    <s v="Afternoon"/>
    <s v="Economy"/>
    <n v="10.8"/>
    <n v="0"/>
    <s v="None"/>
    <x v="0"/>
    <x v="12"/>
  </r>
  <r>
    <d v="2024-02-29T00:00:00"/>
    <x v="1"/>
    <x v="3"/>
    <x v="2"/>
    <x v="0"/>
    <x v="1"/>
    <s v="one"/>
    <s v="Evening"/>
    <s v="Economy"/>
    <n v="4.5"/>
    <n v="0"/>
    <s v="None"/>
    <x v="0"/>
    <x v="14"/>
  </r>
  <r>
    <d v="2024-02-19T00:00:00"/>
    <x v="0"/>
    <x v="145"/>
    <x v="3"/>
    <x v="1"/>
    <x v="2"/>
    <s v="one"/>
    <s v="Early_Morning"/>
    <s v="Business"/>
    <n v="6.12"/>
    <n v="118"/>
    <s v="Air Traffic"/>
    <x v="1"/>
    <x v="5"/>
  </r>
  <r>
    <d v="2024-01-22T00:00:00"/>
    <x v="4"/>
    <x v="57"/>
    <x v="4"/>
    <x v="2"/>
    <x v="2"/>
    <s v="one"/>
    <s v="Night"/>
    <s v="Economy"/>
    <n v="6.02"/>
    <n v="98"/>
    <s v="Weather"/>
    <x v="1"/>
    <x v="25"/>
  </r>
  <r>
    <d v="2024-01-12T00:00:00"/>
    <x v="2"/>
    <x v="146"/>
    <x v="5"/>
    <x v="0"/>
    <x v="3"/>
    <s v="one"/>
    <s v="Early_Morning"/>
    <s v="Business"/>
    <n v="9.0399999999999991"/>
    <n v="44"/>
    <s v="Air Traffic"/>
    <x v="1"/>
    <x v="27"/>
  </r>
  <r>
    <d v="2024-02-14T00:00:00"/>
    <x v="3"/>
    <x v="147"/>
    <x v="5"/>
    <x v="2"/>
    <x v="3"/>
    <s v="one"/>
    <s v="Afternoon"/>
    <s v="Business"/>
    <n v="2.29"/>
    <n v="0"/>
    <s v="None"/>
    <x v="0"/>
    <x v="17"/>
  </r>
  <r>
    <d v="2024-01-26T00:00:00"/>
    <x v="1"/>
    <x v="148"/>
    <x v="2"/>
    <x v="4"/>
    <x v="3"/>
    <s v="one"/>
    <s v="Morning"/>
    <s v="Economy"/>
    <n v="3.98"/>
    <n v="0"/>
    <s v="None"/>
    <x v="0"/>
    <x v="10"/>
  </r>
  <r>
    <d v="2024-01-24T00:00:00"/>
    <x v="1"/>
    <x v="149"/>
    <x v="4"/>
    <x v="5"/>
    <x v="3"/>
    <s v="zero"/>
    <s v="Night"/>
    <s v="Business"/>
    <n v="9.51"/>
    <n v="52"/>
    <s v="Technical"/>
    <x v="1"/>
    <x v="8"/>
  </r>
  <r>
    <d v="2024-01-09T00:00:00"/>
    <x v="2"/>
    <x v="150"/>
    <x v="5"/>
    <x v="2"/>
    <x v="2"/>
    <s v="zero"/>
    <s v="Afternoon"/>
    <s v="Economy"/>
    <n v="6.74"/>
    <n v="0"/>
    <s v="None"/>
    <x v="0"/>
    <x v="17"/>
  </r>
  <r>
    <d v="2024-02-28T00:00:00"/>
    <x v="2"/>
    <x v="151"/>
    <x v="0"/>
    <x v="0"/>
    <x v="2"/>
    <s v="zero"/>
    <s v="Evening"/>
    <s v="Business"/>
    <n v="2.79"/>
    <n v="93"/>
    <s v="Weather"/>
    <x v="1"/>
    <x v="0"/>
  </r>
  <r>
    <d v="2024-01-05T00:00:00"/>
    <x v="3"/>
    <x v="152"/>
    <x v="1"/>
    <x v="2"/>
    <x v="3"/>
    <s v="one"/>
    <s v="Afternoon"/>
    <s v="Economy"/>
    <n v="10.44"/>
    <n v="75"/>
    <s v="Technical"/>
    <x v="1"/>
    <x v="2"/>
  </r>
  <r>
    <d v="2024-02-15T00:00:00"/>
    <x v="4"/>
    <x v="153"/>
    <x v="5"/>
    <x v="5"/>
    <x v="0"/>
    <s v="zero"/>
    <s v="Early_Morning"/>
    <s v="Economy"/>
    <n v="5.29"/>
    <n v="35"/>
    <s v="Weather"/>
    <x v="1"/>
    <x v="23"/>
  </r>
  <r>
    <d v="2024-01-24T00:00:00"/>
    <x v="3"/>
    <x v="154"/>
    <x v="2"/>
    <x v="4"/>
    <x v="1"/>
    <s v="zero"/>
    <s v="Early_Morning"/>
    <s v="Business"/>
    <n v="5.81"/>
    <n v="55"/>
    <s v="Air Traffic"/>
    <x v="1"/>
    <x v="10"/>
  </r>
  <r>
    <d v="2024-02-22T00:00:00"/>
    <x v="2"/>
    <x v="155"/>
    <x v="0"/>
    <x v="1"/>
    <x v="2"/>
    <s v="one"/>
    <s v="Early_Morning"/>
    <s v="Business"/>
    <n v="10.72"/>
    <n v="92"/>
    <s v="Weather"/>
    <x v="1"/>
    <x v="7"/>
  </r>
  <r>
    <d v="2024-02-05T00:00:00"/>
    <x v="2"/>
    <x v="156"/>
    <x v="1"/>
    <x v="1"/>
    <x v="4"/>
    <s v="zero"/>
    <s v="Night"/>
    <s v="Economy"/>
    <n v="4.6900000000000004"/>
    <n v="0"/>
    <s v="None"/>
    <x v="0"/>
    <x v="1"/>
  </r>
  <r>
    <d v="2024-01-21T00:00:00"/>
    <x v="4"/>
    <x v="157"/>
    <x v="5"/>
    <x v="5"/>
    <x v="2"/>
    <s v="one"/>
    <s v="Early_Morning"/>
    <s v="Economy"/>
    <n v="8.06"/>
    <n v="86"/>
    <s v="Weather"/>
    <x v="1"/>
    <x v="23"/>
  </r>
  <r>
    <d v="2024-02-04T00:00:00"/>
    <x v="0"/>
    <x v="158"/>
    <x v="2"/>
    <x v="4"/>
    <x v="1"/>
    <s v="zero"/>
    <s v="Night"/>
    <s v="Economy"/>
    <n v="1.93"/>
    <n v="89"/>
    <s v="Air Traffic"/>
    <x v="1"/>
    <x v="10"/>
  </r>
  <r>
    <d v="2024-01-02T00:00:00"/>
    <x v="0"/>
    <x v="159"/>
    <x v="0"/>
    <x v="5"/>
    <x v="2"/>
    <s v="one"/>
    <s v="Morning"/>
    <s v="Economy"/>
    <n v="11.54"/>
    <n v="68"/>
    <s v="Air Traffic"/>
    <x v="1"/>
    <x v="11"/>
  </r>
  <r>
    <d v="2024-01-16T00:00:00"/>
    <x v="3"/>
    <x v="160"/>
    <x v="5"/>
    <x v="2"/>
    <x v="3"/>
    <s v="zero"/>
    <s v="Early_Morning"/>
    <s v="Business"/>
    <n v="3.64"/>
    <n v="58"/>
    <s v="Technical"/>
    <x v="1"/>
    <x v="17"/>
  </r>
  <r>
    <d v="2024-01-10T00:00:00"/>
    <x v="1"/>
    <x v="161"/>
    <x v="3"/>
    <x v="1"/>
    <x v="2"/>
    <s v="zero"/>
    <s v="Evening"/>
    <s v="Business"/>
    <n v="4.8499999999999996"/>
    <n v="0"/>
    <s v="None"/>
    <x v="0"/>
    <x v="5"/>
  </r>
  <r>
    <d v="2024-01-08T00:00:00"/>
    <x v="1"/>
    <x v="162"/>
    <x v="4"/>
    <x v="4"/>
    <x v="0"/>
    <s v="zero"/>
    <s v="Early_Morning"/>
    <s v="Business"/>
    <n v="11.61"/>
    <n v="54"/>
    <s v="Weather"/>
    <x v="1"/>
    <x v="13"/>
  </r>
  <r>
    <d v="2024-02-22T00:00:00"/>
    <x v="1"/>
    <x v="163"/>
    <x v="2"/>
    <x v="1"/>
    <x v="0"/>
    <s v="one"/>
    <s v="Morning"/>
    <s v="Business"/>
    <n v="1.74"/>
    <n v="68"/>
    <s v="Technical"/>
    <x v="1"/>
    <x v="3"/>
  </r>
  <r>
    <d v="2024-02-02T00:00:00"/>
    <x v="3"/>
    <x v="164"/>
    <x v="1"/>
    <x v="1"/>
    <x v="1"/>
    <s v="zero"/>
    <s v="Afternoon"/>
    <s v="Economy"/>
    <n v="10.76"/>
    <n v="41"/>
    <s v="Air Traffic"/>
    <x v="1"/>
    <x v="1"/>
  </r>
  <r>
    <d v="2024-02-13T00:00:00"/>
    <x v="3"/>
    <x v="165"/>
    <x v="5"/>
    <x v="5"/>
    <x v="3"/>
    <s v="one"/>
    <s v="Early_Morning"/>
    <s v="Economy"/>
    <n v="5.34"/>
    <n v="117"/>
    <s v="Air Traffic"/>
    <x v="1"/>
    <x v="23"/>
  </r>
  <r>
    <d v="2024-01-24T00:00:00"/>
    <x v="0"/>
    <x v="166"/>
    <x v="4"/>
    <x v="3"/>
    <x v="1"/>
    <s v="zero"/>
    <s v="Night"/>
    <s v="Business"/>
    <n v="5.56"/>
    <n v="75"/>
    <s v="Weather"/>
    <x v="1"/>
    <x v="15"/>
  </r>
  <r>
    <d v="2024-02-18T00:00:00"/>
    <x v="2"/>
    <x v="167"/>
    <x v="5"/>
    <x v="5"/>
    <x v="1"/>
    <s v="zero"/>
    <s v="Early_Morning"/>
    <s v="Economy"/>
    <n v="7.36"/>
    <n v="55"/>
    <s v="Technical"/>
    <x v="1"/>
    <x v="23"/>
  </r>
  <r>
    <d v="2024-02-18T00:00:00"/>
    <x v="4"/>
    <x v="168"/>
    <x v="1"/>
    <x v="5"/>
    <x v="1"/>
    <s v="zero"/>
    <s v="Evening"/>
    <s v="Economy"/>
    <n v="8.99"/>
    <n v="0"/>
    <s v="None"/>
    <x v="0"/>
    <x v="29"/>
  </r>
  <r>
    <d v="2024-01-31T00:00:00"/>
    <x v="2"/>
    <x v="169"/>
    <x v="4"/>
    <x v="4"/>
    <x v="1"/>
    <s v="zero"/>
    <s v="Night"/>
    <s v="Business"/>
    <n v="5.63"/>
    <n v="83"/>
    <s v="Weather"/>
    <x v="1"/>
    <x v="13"/>
  </r>
  <r>
    <d v="2024-02-17T00:00:00"/>
    <x v="1"/>
    <x v="170"/>
    <x v="2"/>
    <x v="1"/>
    <x v="1"/>
    <s v="one"/>
    <s v="Night"/>
    <s v="Business"/>
    <n v="5.37"/>
    <n v="0"/>
    <s v="None"/>
    <x v="0"/>
    <x v="3"/>
  </r>
  <r>
    <d v="2024-01-08T00:00:00"/>
    <x v="3"/>
    <x v="171"/>
    <x v="2"/>
    <x v="1"/>
    <x v="3"/>
    <s v="one"/>
    <s v="Night"/>
    <s v="Business"/>
    <n v="9.07"/>
    <n v="0"/>
    <s v="None"/>
    <x v="0"/>
    <x v="3"/>
  </r>
  <r>
    <d v="2024-01-31T00:00:00"/>
    <x v="4"/>
    <x v="172"/>
    <x v="2"/>
    <x v="5"/>
    <x v="4"/>
    <s v="zero"/>
    <s v="Morning"/>
    <s v="Economy"/>
    <n v="3.5"/>
    <n v="0"/>
    <s v="None"/>
    <x v="0"/>
    <x v="26"/>
  </r>
  <r>
    <d v="2024-01-21T00:00:00"/>
    <x v="3"/>
    <x v="173"/>
    <x v="1"/>
    <x v="2"/>
    <x v="0"/>
    <s v="one"/>
    <s v="Evening"/>
    <s v="Economy"/>
    <n v="6.95"/>
    <n v="0"/>
    <s v="None"/>
    <x v="0"/>
    <x v="2"/>
  </r>
  <r>
    <d v="2024-01-21T00:00:00"/>
    <x v="3"/>
    <x v="174"/>
    <x v="2"/>
    <x v="0"/>
    <x v="2"/>
    <s v="one"/>
    <s v="Morning"/>
    <s v="Business"/>
    <n v="9.61"/>
    <n v="74"/>
    <s v="Air Traffic"/>
    <x v="1"/>
    <x v="14"/>
  </r>
  <r>
    <d v="2024-02-13T00:00:00"/>
    <x v="1"/>
    <x v="175"/>
    <x v="2"/>
    <x v="0"/>
    <x v="0"/>
    <s v="one"/>
    <s v="Morning"/>
    <s v="Business"/>
    <n v="8.9"/>
    <n v="33"/>
    <s v="Technical"/>
    <x v="1"/>
    <x v="14"/>
  </r>
  <r>
    <d v="2024-02-15T00:00:00"/>
    <x v="3"/>
    <x v="77"/>
    <x v="5"/>
    <x v="2"/>
    <x v="2"/>
    <s v="one"/>
    <s v="Night"/>
    <s v="Business"/>
    <n v="10.09"/>
    <n v="20"/>
    <s v="Technical"/>
    <x v="1"/>
    <x v="17"/>
  </r>
  <r>
    <d v="2024-02-21T00:00:00"/>
    <x v="4"/>
    <x v="176"/>
    <x v="5"/>
    <x v="3"/>
    <x v="2"/>
    <s v="one"/>
    <s v="Early_Morning"/>
    <s v="Business"/>
    <n v="6.53"/>
    <n v="88"/>
    <s v="Air Traffic"/>
    <x v="1"/>
    <x v="19"/>
  </r>
  <r>
    <d v="2024-02-22T00:00:00"/>
    <x v="2"/>
    <x v="177"/>
    <x v="5"/>
    <x v="5"/>
    <x v="2"/>
    <s v="zero"/>
    <s v="Morning"/>
    <s v="Economy"/>
    <n v="8.5299999999999994"/>
    <n v="0"/>
    <s v="None"/>
    <x v="0"/>
    <x v="23"/>
  </r>
  <r>
    <d v="2024-01-15T00:00:00"/>
    <x v="4"/>
    <x v="178"/>
    <x v="0"/>
    <x v="4"/>
    <x v="4"/>
    <s v="one"/>
    <s v="Afternoon"/>
    <s v="Economy"/>
    <n v="1.55"/>
    <n v="0"/>
    <s v="None"/>
    <x v="0"/>
    <x v="16"/>
  </r>
  <r>
    <d v="2024-02-29T00:00:00"/>
    <x v="4"/>
    <x v="179"/>
    <x v="4"/>
    <x v="2"/>
    <x v="4"/>
    <s v="one"/>
    <s v="Morning"/>
    <s v="Business"/>
    <n v="11.03"/>
    <n v="0"/>
    <s v="None"/>
    <x v="0"/>
    <x v="25"/>
  </r>
  <r>
    <d v="2024-02-11T00:00:00"/>
    <x v="2"/>
    <x v="180"/>
    <x v="1"/>
    <x v="5"/>
    <x v="3"/>
    <s v="one"/>
    <s v="Morning"/>
    <s v="Economy"/>
    <n v="3.46"/>
    <n v="9"/>
    <s v="Technical"/>
    <x v="1"/>
    <x v="29"/>
  </r>
  <r>
    <d v="2024-02-25T00:00:00"/>
    <x v="1"/>
    <x v="181"/>
    <x v="0"/>
    <x v="4"/>
    <x v="2"/>
    <s v="zero"/>
    <s v="Night"/>
    <s v="Business"/>
    <n v="7.2"/>
    <n v="41"/>
    <s v="Air Traffic"/>
    <x v="1"/>
    <x v="16"/>
  </r>
  <r>
    <d v="2024-02-26T00:00:00"/>
    <x v="4"/>
    <x v="182"/>
    <x v="2"/>
    <x v="0"/>
    <x v="2"/>
    <s v="zero"/>
    <s v="Morning"/>
    <s v="Business"/>
    <n v="4.2"/>
    <n v="25"/>
    <s v="Air Traffic"/>
    <x v="1"/>
    <x v="14"/>
  </r>
  <r>
    <d v="2024-01-01T00:00:00"/>
    <x v="1"/>
    <x v="183"/>
    <x v="5"/>
    <x v="5"/>
    <x v="0"/>
    <s v="one"/>
    <s v="Morning"/>
    <s v="Business"/>
    <n v="5.71"/>
    <n v="70"/>
    <s v="Weather"/>
    <x v="1"/>
    <x v="23"/>
  </r>
  <r>
    <d v="2024-01-12T00:00:00"/>
    <x v="4"/>
    <x v="184"/>
    <x v="4"/>
    <x v="1"/>
    <x v="0"/>
    <s v="one"/>
    <s v="Early_Morning"/>
    <s v="Business"/>
    <n v="11.52"/>
    <n v="35"/>
    <s v="Technical"/>
    <x v="1"/>
    <x v="18"/>
  </r>
  <r>
    <d v="2024-02-07T00:00:00"/>
    <x v="2"/>
    <x v="185"/>
    <x v="0"/>
    <x v="0"/>
    <x v="2"/>
    <s v="zero"/>
    <s v="Morning"/>
    <s v="Economy"/>
    <n v="5.76"/>
    <n v="64"/>
    <s v="Weather"/>
    <x v="1"/>
    <x v="0"/>
  </r>
  <r>
    <d v="2024-02-29T00:00:00"/>
    <x v="1"/>
    <x v="186"/>
    <x v="3"/>
    <x v="3"/>
    <x v="2"/>
    <s v="zero"/>
    <s v="Afternoon"/>
    <s v="Economy"/>
    <n v="6.28"/>
    <n v="22"/>
    <s v="Weather"/>
    <x v="1"/>
    <x v="9"/>
  </r>
  <r>
    <d v="2024-01-24T00:00:00"/>
    <x v="3"/>
    <x v="187"/>
    <x v="3"/>
    <x v="2"/>
    <x v="4"/>
    <s v="zero"/>
    <s v="Night"/>
    <s v="Economy"/>
    <n v="7.02"/>
    <n v="0"/>
    <s v="None"/>
    <x v="0"/>
    <x v="21"/>
  </r>
  <r>
    <d v="2024-02-15T00:00:00"/>
    <x v="1"/>
    <x v="188"/>
    <x v="0"/>
    <x v="5"/>
    <x v="3"/>
    <s v="zero"/>
    <s v="Early_Morning"/>
    <s v="Economy"/>
    <n v="6.14"/>
    <n v="26"/>
    <s v="Air Traffic"/>
    <x v="1"/>
    <x v="11"/>
  </r>
  <r>
    <d v="2024-01-14T00:00:00"/>
    <x v="2"/>
    <x v="189"/>
    <x v="4"/>
    <x v="3"/>
    <x v="1"/>
    <s v="zero"/>
    <s v="Evening"/>
    <s v="Business"/>
    <n v="7.42"/>
    <n v="21"/>
    <s v="Technical"/>
    <x v="1"/>
    <x v="15"/>
  </r>
  <r>
    <d v="2024-01-30T00:00:00"/>
    <x v="1"/>
    <x v="190"/>
    <x v="3"/>
    <x v="3"/>
    <x v="4"/>
    <s v="zero"/>
    <s v="Afternoon"/>
    <s v="Economy"/>
    <n v="1.98"/>
    <n v="0"/>
    <s v="None"/>
    <x v="0"/>
    <x v="9"/>
  </r>
  <r>
    <d v="2024-02-14T00:00:00"/>
    <x v="0"/>
    <x v="191"/>
    <x v="2"/>
    <x v="3"/>
    <x v="3"/>
    <s v="zero"/>
    <s v="Evening"/>
    <s v="Business"/>
    <n v="9.57"/>
    <n v="0"/>
    <s v="None"/>
    <x v="0"/>
    <x v="22"/>
  </r>
  <r>
    <d v="2024-02-11T00:00:00"/>
    <x v="3"/>
    <x v="192"/>
    <x v="5"/>
    <x v="2"/>
    <x v="4"/>
    <s v="one"/>
    <s v="Evening"/>
    <s v="Economy"/>
    <n v="8.36"/>
    <n v="0"/>
    <s v="None"/>
    <x v="0"/>
    <x v="17"/>
  </r>
  <r>
    <d v="2024-01-08T00:00:00"/>
    <x v="4"/>
    <x v="193"/>
    <x v="2"/>
    <x v="0"/>
    <x v="1"/>
    <s v="zero"/>
    <s v="Morning"/>
    <s v="Economy"/>
    <n v="11.77"/>
    <n v="0"/>
    <s v="None"/>
    <x v="0"/>
    <x v="14"/>
  </r>
  <r>
    <d v="2024-02-13T00:00:00"/>
    <x v="2"/>
    <x v="194"/>
    <x v="4"/>
    <x v="5"/>
    <x v="4"/>
    <s v="zero"/>
    <s v="Morning"/>
    <s v="Business"/>
    <n v="4.3899999999999997"/>
    <n v="0"/>
    <s v="None"/>
    <x v="0"/>
    <x v="8"/>
  </r>
  <r>
    <d v="2024-02-16T00:00:00"/>
    <x v="0"/>
    <x v="195"/>
    <x v="0"/>
    <x v="2"/>
    <x v="1"/>
    <s v="zero"/>
    <s v="Early_Morning"/>
    <s v="Economy"/>
    <n v="7.74"/>
    <n v="0"/>
    <s v="None"/>
    <x v="0"/>
    <x v="12"/>
  </r>
  <r>
    <d v="2024-02-08T00:00:00"/>
    <x v="0"/>
    <x v="196"/>
    <x v="1"/>
    <x v="3"/>
    <x v="4"/>
    <s v="zero"/>
    <s v="Evening"/>
    <s v="Economy"/>
    <n v="2.97"/>
    <n v="0"/>
    <s v="None"/>
    <x v="0"/>
    <x v="4"/>
  </r>
  <r>
    <d v="2024-01-15T00:00:00"/>
    <x v="2"/>
    <x v="197"/>
    <x v="5"/>
    <x v="5"/>
    <x v="1"/>
    <s v="zero"/>
    <s v="Afternoon"/>
    <s v="Business"/>
    <n v="11.85"/>
    <n v="0"/>
    <s v="None"/>
    <x v="0"/>
    <x v="23"/>
  </r>
  <r>
    <d v="2024-01-15T00:00:00"/>
    <x v="3"/>
    <x v="198"/>
    <x v="5"/>
    <x v="0"/>
    <x v="3"/>
    <s v="zero"/>
    <s v="Night"/>
    <s v="Business"/>
    <n v="11.71"/>
    <n v="76"/>
    <s v="Weather"/>
    <x v="1"/>
    <x v="27"/>
  </r>
  <r>
    <d v="2024-02-12T00:00:00"/>
    <x v="3"/>
    <x v="84"/>
    <x v="2"/>
    <x v="1"/>
    <x v="4"/>
    <s v="zero"/>
    <s v="Evening"/>
    <s v="Business"/>
    <n v="9.42"/>
    <n v="0"/>
    <s v="None"/>
    <x v="0"/>
    <x v="3"/>
  </r>
  <r>
    <d v="2024-01-16T00:00:00"/>
    <x v="4"/>
    <x v="199"/>
    <x v="5"/>
    <x v="4"/>
    <x v="4"/>
    <s v="one"/>
    <s v="Early_Morning"/>
    <s v="Business"/>
    <n v="5.58"/>
    <n v="0"/>
    <s v="None"/>
    <x v="0"/>
    <x v="24"/>
  </r>
  <r>
    <d v="2024-01-14T00:00:00"/>
    <x v="1"/>
    <x v="200"/>
    <x v="3"/>
    <x v="3"/>
    <x v="4"/>
    <s v="zero"/>
    <s v="Afternoon"/>
    <s v="Economy"/>
    <n v="8.57"/>
    <n v="11"/>
    <s v="Technical"/>
    <x v="1"/>
    <x v="9"/>
  </r>
  <r>
    <d v="2024-01-03T00:00:00"/>
    <x v="0"/>
    <x v="201"/>
    <x v="1"/>
    <x v="5"/>
    <x v="1"/>
    <s v="one"/>
    <s v="Morning"/>
    <s v="Economy"/>
    <n v="11.55"/>
    <n v="116"/>
    <s v="Technical"/>
    <x v="1"/>
    <x v="29"/>
  </r>
  <r>
    <d v="2024-01-14T00:00:00"/>
    <x v="4"/>
    <x v="202"/>
    <x v="3"/>
    <x v="3"/>
    <x v="4"/>
    <s v="zero"/>
    <s v="Morning"/>
    <s v="Business"/>
    <n v="5.5"/>
    <n v="35"/>
    <s v="Technical"/>
    <x v="1"/>
    <x v="9"/>
  </r>
  <r>
    <d v="2024-02-11T00:00:00"/>
    <x v="1"/>
    <x v="203"/>
    <x v="5"/>
    <x v="0"/>
    <x v="2"/>
    <s v="one"/>
    <s v="Night"/>
    <s v="Business"/>
    <n v="11.1"/>
    <n v="17"/>
    <s v="Technical"/>
    <x v="1"/>
    <x v="27"/>
  </r>
  <r>
    <d v="2024-01-21T00:00:00"/>
    <x v="3"/>
    <x v="76"/>
    <x v="0"/>
    <x v="5"/>
    <x v="0"/>
    <s v="zero"/>
    <s v="Morning"/>
    <s v="Business"/>
    <n v="3.1"/>
    <n v="75"/>
    <s v="Technical"/>
    <x v="1"/>
    <x v="11"/>
  </r>
  <r>
    <d v="2024-01-15T00:00:00"/>
    <x v="3"/>
    <x v="204"/>
    <x v="2"/>
    <x v="4"/>
    <x v="4"/>
    <s v="one"/>
    <s v="Night"/>
    <s v="Business"/>
    <n v="8.24"/>
    <n v="102"/>
    <s v="Air Traffic"/>
    <x v="1"/>
    <x v="10"/>
  </r>
  <r>
    <d v="2024-01-30T00:00:00"/>
    <x v="4"/>
    <x v="205"/>
    <x v="3"/>
    <x v="1"/>
    <x v="0"/>
    <s v="one"/>
    <s v="Morning"/>
    <s v="Economy"/>
    <n v="7"/>
    <n v="0"/>
    <s v="None"/>
    <x v="0"/>
    <x v="5"/>
  </r>
  <r>
    <d v="2024-02-24T00:00:00"/>
    <x v="0"/>
    <x v="206"/>
    <x v="3"/>
    <x v="3"/>
    <x v="3"/>
    <s v="zero"/>
    <s v="Evening"/>
    <s v="Economy"/>
    <n v="1.6"/>
    <n v="0"/>
    <s v="None"/>
    <x v="0"/>
    <x v="9"/>
  </r>
  <r>
    <d v="2024-01-30T00:00:00"/>
    <x v="1"/>
    <x v="207"/>
    <x v="0"/>
    <x v="5"/>
    <x v="1"/>
    <s v="one"/>
    <s v="Evening"/>
    <s v="Economy"/>
    <n v="1.68"/>
    <n v="5"/>
    <s v="Weather"/>
    <x v="1"/>
    <x v="11"/>
  </r>
  <r>
    <d v="2024-01-18T00:00:00"/>
    <x v="2"/>
    <x v="208"/>
    <x v="5"/>
    <x v="3"/>
    <x v="1"/>
    <s v="zero"/>
    <s v="Evening"/>
    <s v="Economy"/>
    <n v="4.03"/>
    <n v="0"/>
    <s v="None"/>
    <x v="0"/>
    <x v="19"/>
  </r>
  <r>
    <d v="2024-02-03T00:00:00"/>
    <x v="1"/>
    <x v="209"/>
    <x v="5"/>
    <x v="0"/>
    <x v="4"/>
    <s v="one"/>
    <s v="Early_Morning"/>
    <s v="Business"/>
    <n v="11.9"/>
    <n v="0"/>
    <s v="None"/>
    <x v="0"/>
    <x v="27"/>
  </r>
  <r>
    <d v="2024-01-20T00:00:00"/>
    <x v="0"/>
    <x v="210"/>
    <x v="3"/>
    <x v="3"/>
    <x v="3"/>
    <s v="one"/>
    <s v="Evening"/>
    <s v="Business"/>
    <n v="8.19"/>
    <n v="75"/>
    <s v="Weather"/>
    <x v="1"/>
    <x v="9"/>
  </r>
  <r>
    <d v="2024-01-11T00:00:00"/>
    <x v="0"/>
    <x v="211"/>
    <x v="4"/>
    <x v="2"/>
    <x v="2"/>
    <s v="zero"/>
    <s v="Night"/>
    <s v="Economy"/>
    <n v="10.96"/>
    <n v="0"/>
    <s v="None"/>
    <x v="0"/>
    <x v="25"/>
  </r>
  <r>
    <d v="2024-02-26T00:00:00"/>
    <x v="2"/>
    <x v="212"/>
    <x v="4"/>
    <x v="1"/>
    <x v="3"/>
    <s v="one"/>
    <s v="Early_Morning"/>
    <s v="Economy"/>
    <n v="11.6"/>
    <n v="27"/>
    <s v="Weather"/>
    <x v="1"/>
    <x v="18"/>
  </r>
  <r>
    <d v="2024-01-10T00:00:00"/>
    <x v="3"/>
    <x v="213"/>
    <x v="0"/>
    <x v="0"/>
    <x v="0"/>
    <s v="zero"/>
    <s v="Night"/>
    <s v="Business"/>
    <n v="9.43"/>
    <n v="91"/>
    <s v="Technical"/>
    <x v="1"/>
    <x v="0"/>
  </r>
  <r>
    <d v="2024-02-20T00:00:00"/>
    <x v="0"/>
    <x v="214"/>
    <x v="2"/>
    <x v="1"/>
    <x v="3"/>
    <s v="one"/>
    <s v="Early_Morning"/>
    <s v="Economy"/>
    <n v="5.08"/>
    <n v="0"/>
    <s v="None"/>
    <x v="0"/>
    <x v="3"/>
  </r>
  <r>
    <d v="2024-02-09T00:00:00"/>
    <x v="2"/>
    <x v="215"/>
    <x v="4"/>
    <x v="1"/>
    <x v="3"/>
    <s v="one"/>
    <s v="Afternoon"/>
    <s v="Business"/>
    <n v="11.38"/>
    <n v="34"/>
    <s v="Air Traffic"/>
    <x v="1"/>
    <x v="18"/>
  </r>
  <r>
    <d v="2024-01-12T00:00:00"/>
    <x v="2"/>
    <x v="216"/>
    <x v="3"/>
    <x v="0"/>
    <x v="3"/>
    <s v="one"/>
    <s v="Night"/>
    <s v="Economy"/>
    <n v="2.36"/>
    <n v="0"/>
    <s v="None"/>
    <x v="0"/>
    <x v="20"/>
  </r>
  <r>
    <d v="2024-01-25T00:00:00"/>
    <x v="4"/>
    <x v="217"/>
    <x v="3"/>
    <x v="0"/>
    <x v="2"/>
    <s v="zero"/>
    <s v="Afternoon"/>
    <s v="Economy"/>
    <n v="5.28"/>
    <n v="5"/>
    <s v="Technical"/>
    <x v="1"/>
    <x v="20"/>
  </r>
  <r>
    <d v="2024-01-07T00:00:00"/>
    <x v="4"/>
    <x v="218"/>
    <x v="0"/>
    <x v="1"/>
    <x v="4"/>
    <s v="one"/>
    <s v="Evening"/>
    <s v="Economy"/>
    <n v="5.22"/>
    <n v="0"/>
    <s v="None"/>
    <x v="0"/>
    <x v="7"/>
  </r>
  <r>
    <d v="2024-02-08T00:00:00"/>
    <x v="2"/>
    <x v="189"/>
    <x v="5"/>
    <x v="2"/>
    <x v="3"/>
    <s v="one"/>
    <s v="Afternoon"/>
    <s v="Business"/>
    <n v="9.11"/>
    <n v="0"/>
    <s v="None"/>
    <x v="0"/>
    <x v="17"/>
  </r>
  <r>
    <d v="2024-02-27T00:00:00"/>
    <x v="4"/>
    <x v="219"/>
    <x v="2"/>
    <x v="5"/>
    <x v="0"/>
    <s v="zero"/>
    <s v="Evening"/>
    <s v="Economy"/>
    <n v="6.68"/>
    <n v="39"/>
    <s v="Technical"/>
    <x v="1"/>
    <x v="26"/>
  </r>
  <r>
    <d v="2024-01-11T00:00:00"/>
    <x v="3"/>
    <x v="220"/>
    <x v="5"/>
    <x v="2"/>
    <x v="2"/>
    <s v="zero"/>
    <s v="Evening"/>
    <s v="Business"/>
    <n v="9.07"/>
    <n v="0"/>
    <s v="None"/>
    <x v="0"/>
    <x v="17"/>
  </r>
  <r>
    <d v="2024-02-08T00:00:00"/>
    <x v="2"/>
    <x v="221"/>
    <x v="1"/>
    <x v="2"/>
    <x v="3"/>
    <s v="one"/>
    <s v="Morning"/>
    <s v="Economy"/>
    <n v="5.49"/>
    <n v="55"/>
    <s v="Air Traffic"/>
    <x v="1"/>
    <x v="2"/>
  </r>
  <r>
    <d v="2024-01-22T00:00:00"/>
    <x v="3"/>
    <x v="222"/>
    <x v="5"/>
    <x v="2"/>
    <x v="1"/>
    <s v="one"/>
    <s v="Morning"/>
    <s v="Business"/>
    <n v="6.53"/>
    <n v="0"/>
    <s v="None"/>
    <x v="0"/>
    <x v="17"/>
  </r>
  <r>
    <d v="2024-01-26T00:00:00"/>
    <x v="1"/>
    <x v="223"/>
    <x v="5"/>
    <x v="2"/>
    <x v="1"/>
    <s v="one"/>
    <s v="Morning"/>
    <s v="Business"/>
    <n v="2.7"/>
    <n v="40"/>
    <s v="Technical"/>
    <x v="1"/>
    <x v="17"/>
  </r>
  <r>
    <d v="2024-01-13T00:00:00"/>
    <x v="2"/>
    <x v="224"/>
    <x v="2"/>
    <x v="4"/>
    <x v="1"/>
    <s v="one"/>
    <s v="Early_Morning"/>
    <s v="Economy"/>
    <n v="2.23"/>
    <n v="61"/>
    <s v="Air Traffic"/>
    <x v="1"/>
    <x v="10"/>
  </r>
  <r>
    <d v="2024-02-20T00:00:00"/>
    <x v="3"/>
    <x v="225"/>
    <x v="3"/>
    <x v="0"/>
    <x v="0"/>
    <s v="zero"/>
    <s v="Afternoon"/>
    <s v="Business"/>
    <n v="9.01"/>
    <n v="0"/>
    <s v="None"/>
    <x v="0"/>
    <x v="20"/>
  </r>
  <r>
    <d v="2024-01-25T00:00:00"/>
    <x v="0"/>
    <x v="226"/>
    <x v="4"/>
    <x v="5"/>
    <x v="4"/>
    <s v="one"/>
    <s v="Night"/>
    <s v="Business"/>
    <n v="9.8000000000000007"/>
    <n v="0"/>
    <s v="None"/>
    <x v="0"/>
    <x v="8"/>
  </r>
  <r>
    <d v="2024-02-14T00:00:00"/>
    <x v="2"/>
    <x v="227"/>
    <x v="2"/>
    <x v="3"/>
    <x v="3"/>
    <s v="one"/>
    <s v="Morning"/>
    <s v="Economy"/>
    <n v="7.41"/>
    <n v="0"/>
    <s v="None"/>
    <x v="0"/>
    <x v="22"/>
  </r>
  <r>
    <d v="2024-02-13T00:00:00"/>
    <x v="3"/>
    <x v="228"/>
    <x v="5"/>
    <x v="2"/>
    <x v="3"/>
    <s v="zero"/>
    <s v="Early_Morning"/>
    <s v="Business"/>
    <n v="6.18"/>
    <n v="0"/>
    <s v="None"/>
    <x v="0"/>
    <x v="17"/>
  </r>
  <r>
    <d v="2024-01-30T00:00:00"/>
    <x v="2"/>
    <x v="229"/>
    <x v="3"/>
    <x v="2"/>
    <x v="0"/>
    <s v="zero"/>
    <s v="Afternoon"/>
    <s v="Business"/>
    <n v="11.17"/>
    <n v="18"/>
    <s v="Technical"/>
    <x v="1"/>
    <x v="21"/>
  </r>
  <r>
    <d v="2024-01-08T00:00:00"/>
    <x v="4"/>
    <x v="230"/>
    <x v="5"/>
    <x v="0"/>
    <x v="2"/>
    <s v="zero"/>
    <s v="Evening"/>
    <s v="Business"/>
    <n v="6.1"/>
    <n v="49"/>
    <s v="Weather"/>
    <x v="1"/>
    <x v="27"/>
  </r>
  <r>
    <d v="2024-01-29T00:00:00"/>
    <x v="1"/>
    <x v="231"/>
    <x v="0"/>
    <x v="0"/>
    <x v="3"/>
    <s v="zero"/>
    <s v="Early_Morning"/>
    <s v="Business"/>
    <n v="8.61"/>
    <n v="0"/>
    <s v="None"/>
    <x v="0"/>
    <x v="0"/>
  </r>
  <r>
    <d v="2024-02-29T00:00:00"/>
    <x v="4"/>
    <x v="232"/>
    <x v="2"/>
    <x v="4"/>
    <x v="1"/>
    <s v="one"/>
    <s v="Morning"/>
    <s v="Business"/>
    <n v="9.8800000000000008"/>
    <n v="0"/>
    <s v="None"/>
    <x v="0"/>
    <x v="10"/>
  </r>
  <r>
    <d v="2024-01-12T00:00:00"/>
    <x v="4"/>
    <x v="233"/>
    <x v="3"/>
    <x v="0"/>
    <x v="4"/>
    <s v="zero"/>
    <s v="Early_Morning"/>
    <s v="Business"/>
    <n v="1.55"/>
    <n v="80"/>
    <s v="Technical"/>
    <x v="1"/>
    <x v="20"/>
  </r>
  <r>
    <d v="2024-01-14T00:00:00"/>
    <x v="1"/>
    <x v="234"/>
    <x v="3"/>
    <x v="3"/>
    <x v="1"/>
    <s v="zero"/>
    <s v="Early_Morning"/>
    <s v="Business"/>
    <n v="6.3"/>
    <n v="0"/>
    <s v="None"/>
    <x v="0"/>
    <x v="9"/>
  </r>
  <r>
    <d v="2024-02-12T00:00:00"/>
    <x v="3"/>
    <x v="235"/>
    <x v="2"/>
    <x v="1"/>
    <x v="1"/>
    <s v="one"/>
    <s v="Evening"/>
    <s v="Economy"/>
    <n v="7.98"/>
    <n v="49"/>
    <s v="Technical"/>
    <x v="1"/>
    <x v="3"/>
  </r>
  <r>
    <d v="2024-02-13T00:00:00"/>
    <x v="1"/>
    <x v="236"/>
    <x v="2"/>
    <x v="5"/>
    <x v="3"/>
    <s v="one"/>
    <s v="Morning"/>
    <s v="Economy"/>
    <n v="3.42"/>
    <n v="35"/>
    <s v="Weather"/>
    <x v="1"/>
    <x v="26"/>
  </r>
  <r>
    <d v="2024-01-10T00:00:00"/>
    <x v="2"/>
    <x v="227"/>
    <x v="4"/>
    <x v="2"/>
    <x v="1"/>
    <s v="one"/>
    <s v="Morning"/>
    <s v="Business"/>
    <n v="7.14"/>
    <n v="28"/>
    <s v="Air Traffic"/>
    <x v="1"/>
    <x v="25"/>
  </r>
  <r>
    <d v="2024-02-29T00:00:00"/>
    <x v="4"/>
    <x v="237"/>
    <x v="2"/>
    <x v="4"/>
    <x v="4"/>
    <s v="zero"/>
    <s v="Afternoon"/>
    <s v="Economy"/>
    <n v="2.06"/>
    <n v="45"/>
    <s v="Air Traffic"/>
    <x v="1"/>
    <x v="10"/>
  </r>
  <r>
    <d v="2024-03-01T00:00:00"/>
    <x v="0"/>
    <x v="238"/>
    <x v="4"/>
    <x v="4"/>
    <x v="0"/>
    <s v="one"/>
    <s v="Evening"/>
    <s v="Business"/>
    <n v="8.9600000000000009"/>
    <n v="92"/>
    <s v="Technical"/>
    <x v="1"/>
    <x v="13"/>
  </r>
  <r>
    <d v="2024-02-01T00:00:00"/>
    <x v="4"/>
    <x v="239"/>
    <x v="0"/>
    <x v="5"/>
    <x v="3"/>
    <s v="one"/>
    <s v="Morning"/>
    <s v="Economy"/>
    <n v="7.14"/>
    <n v="0"/>
    <s v="None"/>
    <x v="0"/>
    <x v="11"/>
  </r>
  <r>
    <d v="2024-02-19T00:00:00"/>
    <x v="3"/>
    <x v="240"/>
    <x v="2"/>
    <x v="0"/>
    <x v="1"/>
    <s v="zero"/>
    <s v="Night"/>
    <s v="Economy"/>
    <n v="10.14"/>
    <n v="39"/>
    <s v="Air Traffic"/>
    <x v="1"/>
    <x v="14"/>
  </r>
  <r>
    <d v="2024-02-18T00:00:00"/>
    <x v="3"/>
    <x v="192"/>
    <x v="2"/>
    <x v="4"/>
    <x v="4"/>
    <s v="zero"/>
    <s v="Early_Morning"/>
    <s v="Business"/>
    <n v="6.22"/>
    <n v="0"/>
    <s v="None"/>
    <x v="0"/>
    <x v="10"/>
  </r>
  <r>
    <d v="2024-02-25T00:00:00"/>
    <x v="0"/>
    <x v="241"/>
    <x v="4"/>
    <x v="3"/>
    <x v="0"/>
    <s v="one"/>
    <s v="Morning"/>
    <s v="Business"/>
    <n v="9.74"/>
    <n v="0"/>
    <s v="None"/>
    <x v="0"/>
    <x v="15"/>
  </r>
  <r>
    <d v="2024-01-14T00:00:00"/>
    <x v="0"/>
    <x v="242"/>
    <x v="2"/>
    <x v="1"/>
    <x v="1"/>
    <s v="zero"/>
    <s v="Afternoon"/>
    <s v="Business"/>
    <n v="7.51"/>
    <n v="95"/>
    <s v="Technical"/>
    <x v="1"/>
    <x v="3"/>
  </r>
  <r>
    <d v="2024-02-02T00:00:00"/>
    <x v="0"/>
    <x v="243"/>
    <x v="1"/>
    <x v="2"/>
    <x v="3"/>
    <s v="zero"/>
    <s v="Afternoon"/>
    <s v="Economy"/>
    <n v="8.9700000000000006"/>
    <n v="0"/>
    <s v="None"/>
    <x v="0"/>
    <x v="2"/>
  </r>
  <r>
    <d v="2024-01-16T00:00:00"/>
    <x v="3"/>
    <x v="244"/>
    <x v="4"/>
    <x v="4"/>
    <x v="1"/>
    <s v="one"/>
    <s v="Afternoon"/>
    <s v="Business"/>
    <n v="8.15"/>
    <n v="0"/>
    <s v="None"/>
    <x v="0"/>
    <x v="13"/>
  </r>
  <r>
    <d v="2024-01-06T00:00:00"/>
    <x v="3"/>
    <x v="245"/>
    <x v="2"/>
    <x v="1"/>
    <x v="2"/>
    <s v="one"/>
    <s v="Evening"/>
    <s v="Business"/>
    <n v="10.62"/>
    <n v="0"/>
    <s v="None"/>
    <x v="0"/>
    <x v="3"/>
  </r>
  <r>
    <d v="2024-02-16T00:00:00"/>
    <x v="0"/>
    <x v="246"/>
    <x v="3"/>
    <x v="0"/>
    <x v="2"/>
    <s v="one"/>
    <s v="Early_Morning"/>
    <s v="Economy"/>
    <n v="6.69"/>
    <n v="0"/>
    <s v="None"/>
    <x v="0"/>
    <x v="20"/>
  </r>
  <r>
    <d v="2024-02-23T00:00:00"/>
    <x v="1"/>
    <x v="247"/>
    <x v="5"/>
    <x v="5"/>
    <x v="1"/>
    <s v="one"/>
    <s v="Morning"/>
    <s v="Business"/>
    <n v="1.98"/>
    <n v="0"/>
    <s v="None"/>
    <x v="0"/>
    <x v="23"/>
  </r>
  <r>
    <d v="2024-02-20T00:00:00"/>
    <x v="3"/>
    <x v="248"/>
    <x v="0"/>
    <x v="4"/>
    <x v="0"/>
    <s v="one"/>
    <s v="Evening"/>
    <s v="Economy"/>
    <n v="11.95"/>
    <n v="0"/>
    <s v="None"/>
    <x v="0"/>
    <x v="16"/>
  </r>
  <r>
    <d v="2024-02-26T00:00:00"/>
    <x v="1"/>
    <x v="249"/>
    <x v="1"/>
    <x v="0"/>
    <x v="3"/>
    <s v="one"/>
    <s v="Afternoon"/>
    <s v="Economy"/>
    <n v="2.04"/>
    <n v="0"/>
    <s v="None"/>
    <x v="0"/>
    <x v="28"/>
  </r>
  <r>
    <d v="2024-01-20T00:00:00"/>
    <x v="4"/>
    <x v="250"/>
    <x v="4"/>
    <x v="3"/>
    <x v="3"/>
    <s v="zero"/>
    <s v="Early_Morning"/>
    <s v="Business"/>
    <n v="7.73"/>
    <n v="0"/>
    <s v="None"/>
    <x v="0"/>
    <x v="15"/>
  </r>
  <r>
    <d v="2024-02-13T00:00:00"/>
    <x v="3"/>
    <x v="251"/>
    <x v="0"/>
    <x v="4"/>
    <x v="2"/>
    <s v="one"/>
    <s v="Early_Morning"/>
    <s v="Economy"/>
    <n v="3.9"/>
    <n v="0"/>
    <s v="None"/>
    <x v="0"/>
    <x v="16"/>
  </r>
  <r>
    <d v="2024-02-16T00:00:00"/>
    <x v="0"/>
    <x v="252"/>
    <x v="0"/>
    <x v="0"/>
    <x v="2"/>
    <s v="zero"/>
    <s v="Afternoon"/>
    <s v="Business"/>
    <n v="8.24"/>
    <n v="0"/>
    <s v="None"/>
    <x v="0"/>
    <x v="0"/>
  </r>
  <r>
    <d v="2024-01-10T00:00:00"/>
    <x v="0"/>
    <x v="253"/>
    <x v="2"/>
    <x v="5"/>
    <x v="3"/>
    <s v="zero"/>
    <s v="Night"/>
    <s v="Business"/>
    <n v="8.09"/>
    <n v="0"/>
    <s v="None"/>
    <x v="0"/>
    <x v="26"/>
  </r>
  <r>
    <d v="2024-02-28T00:00:00"/>
    <x v="3"/>
    <x v="254"/>
    <x v="2"/>
    <x v="0"/>
    <x v="0"/>
    <s v="zero"/>
    <s v="Early_Morning"/>
    <s v="Economy"/>
    <n v="7.69"/>
    <n v="0"/>
    <s v="None"/>
    <x v="0"/>
    <x v="14"/>
  </r>
  <r>
    <d v="2024-01-23T00:00:00"/>
    <x v="3"/>
    <x v="245"/>
    <x v="5"/>
    <x v="4"/>
    <x v="0"/>
    <s v="zero"/>
    <s v="Afternoon"/>
    <s v="Economy"/>
    <n v="1.78"/>
    <n v="75"/>
    <s v="Air Traffic"/>
    <x v="1"/>
    <x v="24"/>
  </r>
  <r>
    <d v="2024-02-12T00:00:00"/>
    <x v="1"/>
    <x v="255"/>
    <x v="1"/>
    <x v="5"/>
    <x v="1"/>
    <s v="zero"/>
    <s v="Night"/>
    <s v="Business"/>
    <n v="9.73"/>
    <n v="0"/>
    <s v="None"/>
    <x v="0"/>
    <x v="29"/>
  </r>
  <r>
    <d v="2024-01-16T00:00:00"/>
    <x v="3"/>
    <x v="256"/>
    <x v="4"/>
    <x v="3"/>
    <x v="0"/>
    <s v="zero"/>
    <s v="Evening"/>
    <s v="Economy"/>
    <n v="5.56"/>
    <n v="51"/>
    <s v="Weather"/>
    <x v="1"/>
    <x v="15"/>
  </r>
  <r>
    <d v="2024-02-06T00:00:00"/>
    <x v="3"/>
    <x v="257"/>
    <x v="5"/>
    <x v="5"/>
    <x v="0"/>
    <s v="zero"/>
    <s v="Evening"/>
    <s v="Economy"/>
    <n v="1.64"/>
    <n v="0"/>
    <s v="None"/>
    <x v="0"/>
    <x v="23"/>
  </r>
  <r>
    <d v="2024-01-03T00:00:00"/>
    <x v="0"/>
    <x v="258"/>
    <x v="4"/>
    <x v="5"/>
    <x v="2"/>
    <s v="one"/>
    <s v="Night"/>
    <s v="Business"/>
    <n v="8.23"/>
    <n v="94"/>
    <s v="Weather"/>
    <x v="1"/>
    <x v="8"/>
  </r>
  <r>
    <d v="2024-02-09T00:00:00"/>
    <x v="4"/>
    <x v="259"/>
    <x v="5"/>
    <x v="3"/>
    <x v="2"/>
    <s v="zero"/>
    <s v="Early_Morning"/>
    <s v="Economy"/>
    <n v="7.66"/>
    <n v="73"/>
    <s v="Technical"/>
    <x v="1"/>
    <x v="19"/>
  </r>
  <r>
    <d v="2024-02-23T00:00:00"/>
    <x v="0"/>
    <x v="260"/>
    <x v="5"/>
    <x v="2"/>
    <x v="0"/>
    <s v="zero"/>
    <s v="Early_Morning"/>
    <s v="Economy"/>
    <n v="6.26"/>
    <n v="0"/>
    <s v="None"/>
    <x v="0"/>
    <x v="17"/>
  </r>
  <r>
    <d v="2024-01-04T00:00:00"/>
    <x v="1"/>
    <x v="261"/>
    <x v="3"/>
    <x v="4"/>
    <x v="3"/>
    <s v="zero"/>
    <s v="Early_Morning"/>
    <s v="Economy"/>
    <n v="6.99"/>
    <n v="25"/>
    <s v="Technical"/>
    <x v="1"/>
    <x v="6"/>
  </r>
  <r>
    <d v="2024-02-22T00:00:00"/>
    <x v="1"/>
    <x v="262"/>
    <x v="1"/>
    <x v="0"/>
    <x v="0"/>
    <s v="zero"/>
    <s v="Afternoon"/>
    <s v="Economy"/>
    <n v="7"/>
    <n v="47"/>
    <s v="Technical"/>
    <x v="1"/>
    <x v="28"/>
  </r>
  <r>
    <d v="2024-02-15T00:00:00"/>
    <x v="2"/>
    <x v="199"/>
    <x v="3"/>
    <x v="3"/>
    <x v="4"/>
    <s v="one"/>
    <s v="Evening"/>
    <s v="Economy"/>
    <n v="5.36"/>
    <n v="0"/>
    <s v="None"/>
    <x v="0"/>
    <x v="9"/>
  </r>
  <r>
    <d v="2024-02-19T00:00:00"/>
    <x v="0"/>
    <x v="263"/>
    <x v="2"/>
    <x v="3"/>
    <x v="0"/>
    <s v="zero"/>
    <s v="Night"/>
    <s v="Economy"/>
    <n v="4.07"/>
    <n v="0"/>
    <s v="None"/>
    <x v="0"/>
    <x v="22"/>
  </r>
  <r>
    <d v="2024-01-24T00:00:00"/>
    <x v="3"/>
    <x v="264"/>
    <x v="1"/>
    <x v="1"/>
    <x v="3"/>
    <s v="one"/>
    <s v="Night"/>
    <s v="Economy"/>
    <n v="5.87"/>
    <n v="0"/>
    <s v="None"/>
    <x v="0"/>
    <x v="1"/>
  </r>
  <r>
    <d v="2024-01-21T00:00:00"/>
    <x v="1"/>
    <x v="265"/>
    <x v="0"/>
    <x v="5"/>
    <x v="2"/>
    <s v="zero"/>
    <s v="Early_Morning"/>
    <s v="Economy"/>
    <n v="11.52"/>
    <n v="0"/>
    <s v="None"/>
    <x v="0"/>
    <x v="11"/>
  </r>
  <r>
    <d v="2024-02-26T00:00:00"/>
    <x v="3"/>
    <x v="266"/>
    <x v="5"/>
    <x v="0"/>
    <x v="2"/>
    <s v="one"/>
    <s v="Early_Morning"/>
    <s v="Economy"/>
    <n v="4.5599999999999996"/>
    <n v="0"/>
    <s v="None"/>
    <x v="0"/>
    <x v="27"/>
  </r>
  <r>
    <d v="2024-01-20T00:00:00"/>
    <x v="2"/>
    <x v="267"/>
    <x v="1"/>
    <x v="2"/>
    <x v="2"/>
    <s v="one"/>
    <s v="Night"/>
    <s v="Economy"/>
    <n v="3.08"/>
    <n v="0"/>
    <s v="None"/>
    <x v="0"/>
    <x v="2"/>
  </r>
  <r>
    <d v="2024-01-02T00:00:00"/>
    <x v="4"/>
    <x v="268"/>
    <x v="2"/>
    <x v="1"/>
    <x v="3"/>
    <s v="zero"/>
    <s v="Afternoon"/>
    <s v="Business"/>
    <n v="3.65"/>
    <n v="113"/>
    <s v="Weather"/>
    <x v="1"/>
    <x v="3"/>
  </r>
  <r>
    <d v="2024-01-27T00:00:00"/>
    <x v="3"/>
    <x v="269"/>
    <x v="0"/>
    <x v="1"/>
    <x v="2"/>
    <s v="zero"/>
    <s v="Early_Morning"/>
    <s v="Economy"/>
    <n v="10.9"/>
    <n v="119"/>
    <s v="Air Traffic"/>
    <x v="1"/>
    <x v="7"/>
  </r>
  <r>
    <d v="2024-02-17T00:00:00"/>
    <x v="0"/>
    <x v="270"/>
    <x v="2"/>
    <x v="3"/>
    <x v="1"/>
    <s v="one"/>
    <s v="Morning"/>
    <s v="Economy"/>
    <n v="6.07"/>
    <n v="0"/>
    <s v="None"/>
    <x v="0"/>
    <x v="22"/>
  </r>
  <r>
    <d v="2024-01-16T00:00:00"/>
    <x v="1"/>
    <x v="271"/>
    <x v="5"/>
    <x v="0"/>
    <x v="4"/>
    <s v="one"/>
    <s v="Afternoon"/>
    <s v="Business"/>
    <n v="2.2799999999999998"/>
    <n v="0"/>
    <s v="None"/>
    <x v="0"/>
    <x v="27"/>
  </r>
  <r>
    <d v="2024-01-09T00:00:00"/>
    <x v="2"/>
    <x v="272"/>
    <x v="0"/>
    <x v="1"/>
    <x v="3"/>
    <s v="one"/>
    <s v="Morning"/>
    <s v="Business"/>
    <n v="7.13"/>
    <n v="45"/>
    <s v="Weather"/>
    <x v="1"/>
    <x v="7"/>
  </r>
  <r>
    <d v="2024-01-14T00:00:00"/>
    <x v="3"/>
    <x v="273"/>
    <x v="5"/>
    <x v="2"/>
    <x v="2"/>
    <s v="zero"/>
    <s v="Early_Morning"/>
    <s v="Economy"/>
    <n v="8.82"/>
    <n v="108"/>
    <s v="Air Traffic"/>
    <x v="1"/>
    <x v="17"/>
  </r>
  <r>
    <d v="2024-01-14T00:00:00"/>
    <x v="1"/>
    <x v="274"/>
    <x v="1"/>
    <x v="3"/>
    <x v="0"/>
    <s v="one"/>
    <s v="Afternoon"/>
    <s v="Economy"/>
    <n v="10.11"/>
    <n v="91"/>
    <s v="Technical"/>
    <x v="1"/>
    <x v="4"/>
  </r>
  <r>
    <d v="2024-01-02T00:00:00"/>
    <x v="3"/>
    <x v="275"/>
    <x v="4"/>
    <x v="5"/>
    <x v="1"/>
    <s v="zero"/>
    <s v="Morning"/>
    <s v="Business"/>
    <n v="2.78"/>
    <n v="0"/>
    <s v="None"/>
    <x v="0"/>
    <x v="8"/>
  </r>
  <r>
    <d v="2024-02-23T00:00:00"/>
    <x v="4"/>
    <x v="276"/>
    <x v="1"/>
    <x v="1"/>
    <x v="4"/>
    <s v="zero"/>
    <s v="Afternoon"/>
    <s v="Business"/>
    <n v="1.73"/>
    <n v="0"/>
    <s v="None"/>
    <x v="0"/>
    <x v="1"/>
  </r>
  <r>
    <d v="2024-01-13T00:00:00"/>
    <x v="3"/>
    <x v="277"/>
    <x v="1"/>
    <x v="3"/>
    <x v="2"/>
    <s v="zero"/>
    <s v="Early_Morning"/>
    <s v="Business"/>
    <n v="11.2"/>
    <n v="0"/>
    <s v="None"/>
    <x v="0"/>
    <x v="4"/>
  </r>
  <r>
    <d v="2024-02-22T00:00:00"/>
    <x v="3"/>
    <x v="278"/>
    <x v="4"/>
    <x v="3"/>
    <x v="4"/>
    <s v="zero"/>
    <s v="Evening"/>
    <s v="Business"/>
    <n v="4.3899999999999997"/>
    <n v="0"/>
    <s v="None"/>
    <x v="0"/>
    <x v="15"/>
  </r>
  <r>
    <d v="2024-02-26T00:00:00"/>
    <x v="4"/>
    <x v="279"/>
    <x v="0"/>
    <x v="5"/>
    <x v="1"/>
    <s v="zero"/>
    <s v="Night"/>
    <s v="Business"/>
    <n v="6.53"/>
    <n v="68"/>
    <s v="Air Traffic"/>
    <x v="1"/>
    <x v="11"/>
  </r>
  <r>
    <d v="2024-01-18T00:00:00"/>
    <x v="3"/>
    <x v="280"/>
    <x v="1"/>
    <x v="2"/>
    <x v="0"/>
    <s v="zero"/>
    <s v="Night"/>
    <s v="Economy"/>
    <n v="7.22"/>
    <n v="53"/>
    <s v="Technical"/>
    <x v="1"/>
    <x v="2"/>
  </r>
  <r>
    <d v="2024-01-23T00:00:00"/>
    <x v="2"/>
    <x v="33"/>
    <x v="2"/>
    <x v="1"/>
    <x v="4"/>
    <s v="zero"/>
    <s v="Afternoon"/>
    <s v="Economy"/>
    <n v="1.81"/>
    <n v="0"/>
    <s v="None"/>
    <x v="0"/>
    <x v="3"/>
  </r>
  <r>
    <d v="2024-02-19T00:00:00"/>
    <x v="1"/>
    <x v="281"/>
    <x v="0"/>
    <x v="2"/>
    <x v="1"/>
    <s v="zero"/>
    <s v="Afternoon"/>
    <s v="Economy"/>
    <n v="8.4"/>
    <n v="0"/>
    <s v="None"/>
    <x v="0"/>
    <x v="12"/>
  </r>
  <r>
    <d v="2024-02-04T00:00:00"/>
    <x v="0"/>
    <x v="282"/>
    <x v="1"/>
    <x v="5"/>
    <x v="4"/>
    <s v="zero"/>
    <s v="Afternoon"/>
    <s v="Economy"/>
    <n v="8.83"/>
    <n v="35"/>
    <s v="Air Traffic"/>
    <x v="1"/>
    <x v="29"/>
  </r>
  <r>
    <d v="2024-01-02T00:00:00"/>
    <x v="1"/>
    <x v="283"/>
    <x v="2"/>
    <x v="5"/>
    <x v="0"/>
    <s v="zero"/>
    <s v="Night"/>
    <s v="Business"/>
    <n v="6.65"/>
    <n v="74"/>
    <s v="Weather"/>
    <x v="1"/>
    <x v="26"/>
  </r>
  <r>
    <d v="2024-01-04T00:00:00"/>
    <x v="4"/>
    <x v="284"/>
    <x v="2"/>
    <x v="4"/>
    <x v="3"/>
    <s v="one"/>
    <s v="Night"/>
    <s v="Economy"/>
    <n v="9.9700000000000006"/>
    <n v="0"/>
    <s v="None"/>
    <x v="0"/>
    <x v="10"/>
  </r>
  <r>
    <d v="2024-02-15T00:00:00"/>
    <x v="4"/>
    <x v="285"/>
    <x v="5"/>
    <x v="3"/>
    <x v="3"/>
    <s v="zero"/>
    <s v="Morning"/>
    <s v="Economy"/>
    <n v="5.42"/>
    <n v="113"/>
    <s v="Weather"/>
    <x v="1"/>
    <x v="19"/>
  </r>
  <r>
    <d v="2024-01-26T00:00:00"/>
    <x v="2"/>
    <x v="286"/>
    <x v="0"/>
    <x v="0"/>
    <x v="2"/>
    <s v="zero"/>
    <s v="Afternoon"/>
    <s v="Economy"/>
    <n v="11.59"/>
    <n v="98"/>
    <s v="Air Traffic"/>
    <x v="1"/>
    <x v="0"/>
  </r>
  <r>
    <d v="2024-01-21T00:00:00"/>
    <x v="4"/>
    <x v="287"/>
    <x v="3"/>
    <x v="2"/>
    <x v="1"/>
    <s v="zero"/>
    <s v="Afternoon"/>
    <s v="Economy"/>
    <n v="8.73"/>
    <n v="53"/>
    <s v="Air Traffic"/>
    <x v="1"/>
    <x v="21"/>
  </r>
  <r>
    <d v="2024-01-12T00:00:00"/>
    <x v="0"/>
    <x v="288"/>
    <x v="3"/>
    <x v="2"/>
    <x v="4"/>
    <s v="zero"/>
    <s v="Night"/>
    <s v="Economy"/>
    <n v="3.82"/>
    <n v="82"/>
    <s v="Air Traffic"/>
    <x v="1"/>
    <x v="21"/>
  </r>
  <r>
    <d v="2024-01-07T00:00:00"/>
    <x v="3"/>
    <x v="289"/>
    <x v="1"/>
    <x v="0"/>
    <x v="3"/>
    <s v="one"/>
    <s v="Morning"/>
    <s v="Business"/>
    <n v="10.130000000000001"/>
    <n v="0"/>
    <s v="None"/>
    <x v="0"/>
    <x v="28"/>
  </r>
  <r>
    <d v="2024-02-10T00:00:00"/>
    <x v="1"/>
    <x v="290"/>
    <x v="4"/>
    <x v="3"/>
    <x v="2"/>
    <s v="zero"/>
    <s v="Morning"/>
    <s v="Economy"/>
    <n v="9.06"/>
    <n v="49"/>
    <s v="Weather"/>
    <x v="1"/>
    <x v="15"/>
  </r>
  <r>
    <d v="2024-01-25T00:00:00"/>
    <x v="3"/>
    <x v="291"/>
    <x v="3"/>
    <x v="0"/>
    <x v="0"/>
    <s v="one"/>
    <s v="Evening"/>
    <s v="Business"/>
    <n v="10.199999999999999"/>
    <n v="49"/>
    <s v="Weather"/>
    <x v="1"/>
    <x v="20"/>
  </r>
  <r>
    <d v="2024-02-25T00:00:00"/>
    <x v="2"/>
    <x v="292"/>
    <x v="3"/>
    <x v="4"/>
    <x v="0"/>
    <s v="zero"/>
    <s v="Evening"/>
    <s v="Economy"/>
    <n v="4.8499999999999996"/>
    <n v="0"/>
    <s v="None"/>
    <x v="0"/>
    <x v="6"/>
  </r>
  <r>
    <d v="2024-01-05T00:00:00"/>
    <x v="1"/>
    <x v="293"/>
    <x v="1"/>
    <x v="2"/>
    <x v="0"/>
    <s v="zero"/>
    <s v="Early_Morning"/>
    <s v="Business"/>
    <n v="1.83"/>
    <n v="81"/>
    <s v="Air Traffic"/>
    <x v="1"/>
    <x v="2"/>
  </r>
  <r>
    <d v="2024-01-11T00:00:00"/>
    <x v="2"/>
    <x v="294"/>
    <x v="4"/>
    <x v="4"/>
    <x v="3"/>
    <s v="one"/>
    <s v="Early_Morning"/>
    <s v="Economy"/>
    <n v="7.32"/>
    <n v="29"/>
    <s v="Air Traffic"/>
    <x v="1"/>
    <x v="13"/>
  </r>
  <r>
    <d v="2024-02-04T00:00:00"/>
    <x v="1"/>
    <x v="295"/>
    <x v="3"/>
    <x v="1"/>
    <x v="2"/>
    <s v="zero"/>
    <s v="Morning"/>
    <s v="Economy"/>
    <n v="2.0699999999999998"/>
    <n v="55"/>
    <s v="Weather"/>
    <x v="1"/>
    <x v="5"/>
  </r>
  <r>
    <d v="2024-01-28T00:00:00"/>
    <x v="0"/>
    <x v="296"/>
    <x v="5"/>
    <x v="5"/>
    <x v="4"/>
    <s v="zero"/>
    <s v="Morning"/>
    <s v="Economy"/>
    <n v="8.1999999999999993"/>
    <n v="0"/>
    <s v="None"/>
    <x v="0"/>
    <x v="23"/>
  </r>
  <r>
    <d v="2024-01-31T00:00:00"/>
    <x v="0"/>
    <x v="297"/>
    <x v="5"/>
    <x v="2"/>
    <x v="4"/>
    <s v="one"/>
    <s v="Evening"/>
    <s v="Economy"/>
    <n v="5.4"/>
    <n v="87"/>
    <s v="Weather"/>
    <x v="1"/>
    <x v="17"/>
  </r>
  <r>
    <d v="2024-01-24T00:00:00"/>
    <x v="4"/>
    <x v="298"/>
    <x v="4"/>
    <x v="3"/>
    <x v="2"/>
    <s v="one"/>
    <s v="Evening"/>
    <s v="Business"/>
    <n v="2.15"/>
    <n v="33"/>
    <s v="Air Traffic"/>
    <x v="1"/>
    <x v="15"/>
  </r>
  <r>
    <d v="2024-02-14T00:00:00"/>
    <x v="0"/>
    <x v="299"/>
    <x v="0"/>
    <x v="0"/>
    <x v="1"/>
    <s v="zero"/>
    <s v="Evening"/>
    <s v="Economy"/>
    <n v="5.9"/>
    <n v="112"/>
    <s v="Air Traffic"/>
    <x v="1"/>
    <x v="0"/>
  </r>
  <r>
    <d v="2024-02-13T00:00:00"/>
    <x v="3"/>
    <x v="300"/>
    <x v="2"/>
    <x v="4"/>
    <x v="4"/>
    <s v="zero"/>
    <s v="Afternoon"/>
    <s v="Business"/>
    <n v="6.77"/>
    <n v="0"/>
    <s v="None"/>
    <x v="0"/>
    <x v="10"/>
  </r>
  <r>
    <d v="2024-02-21T00:00:00"/>
    <x v="2"/>
    <x v="301"/>
    <x v="3"/>
    <x v="2"/>
    <x v="0"/>
    <s v="one"/>
    <s v="Early_Morning"/>
    <s v="Economy"/>
    <n v="9.99"/>
    <n v="0"/>
    <s v="None"/>
    <x v="0"/>
    <x v="21"/>
  </r>
  <r>
    <d v="2024-01-03T00:00:00"/>
    <x v="3"/>
    <x v="302"/>
    <x v="0"/>
    <x v="2"/>
    <x v="0"/>
    <s v="one"/>
    <s v="Morning"/>
    <s v="Business"/>
    <n v="2.41"/>
    <n v="0"/>
    <s v="None"/>
    <x v="0"/>
    <x v="12"/>
  </r>
  <r>
    <d v="2024-01-26T00:00:00"/>
    <x v="2"/>
    <x v="303"/>
    <x v="5"/>
    <x v="0"/>
    <x v="1"/>
    <s v="zero"/>
    <s v="Evening"/>
    <s v="Business"/>
    <n v="3.06"/>
    <n v="19"/>
    <s v="Weather"/>
    <x v="1"/>
    <x v="27"/>
  </r>
  <r>
    <d v="2024-02-07T00:00:00"/>
    <x v="0"/>
    <x v="260"/>
    <x v="0"/>
    <x v="5"/>
    <x v="3"/>
    <s v="one"/>
    <s v="Afternoon"/>
    <s v="Business"/>
    <n v="6.6"/>
    <n v="38"/>
    <s v="Air Traffic"/>
    <x v="1"/>
    <x v="11"/>
  </r>
  <r>
    <d v="2024-01-31T00:00:00"/>
    <x v="0"/>
    <x v="304"/>
    <x v="1"/>
    <x v="0"/>
    <x v="4"/>
    <s v="one"/>
    <s v="Morning"/>
    <s v="Economy"/>
    <n v="3.99"/>
    <n v="55"/>
    <s v="Air Traffic"/>
    <x v="1"/>
    <x v="28"/>
  </r>
  <r>
    <d v="2024-01-31T00:00:00"/>
    <x v="1"/>
    <x v="305"/>
    <x v="5"/>
    <x v="3"/>
    <x v="2"/>
    <s v="one"/>
    <s v="Afternoon"/>
    <s v="Business"/>
    <n v="8.69"/>
    <n v="112"/>
    <s v="Air Traffic"/>
    <x v="1"/>
    <x v="19"/>
  </r>
  <r>
    <d v="2024-01-15T00:00:00"/>
    <x v="4"/>
    <x v="306"/>
    <x v="5"/>
    <x v="2"/>
    <x v="2"/>
    <s v="one"/>
    <s v="Afternoon"/>
    <s v="Economy"/>
    <n v="11.09"/>
    <n v="29"/>
    <s v="Weather"/>
    <x v="1"/>
    <x v="17"/>
  </r>
  <r>
    <d v="2024-02-17T00:00:00"/>
    <x v="3"/>
    <x v="307"/>
    <x v="2"/>
    <x v="1"/>
    <x v="3"/>
    <s v="zero"/>
    <s v="Night"/>
    <s v="Economy"/>
    <n v="9.6999999999999993"/>
    <n v="44"/>
    <s v="Weather"/>
    <x v="1"/>
    <x v="3"/>
  </r>
  <r>
    <d v="2024-02-26T00:00:00"/>
    <x v="2"/>
    <x v="308"/>
    <x v="0"/>
    <x v="1"/>
    <x v="0"/>
    <s v="zero"/>
    <s v="Morning"/>
    <s v="Economy"/>
    <n v="11.14"/>
    <n v="9"/>
    <s v="Weather"/>
    <x v="1"/>
    <x v="7"/>
  </r>
  <r>
    <d v="2024-01-13T00:00:00"/>
    <x v="1"/>
    <x v="309"/>
    <x v="5"/>
    <x v="2"/>
    <x v="1"/>
    <s v="zero"/>
    <s v="Evening"/>
    <s v="Economy"/>
    <n v="7.74"/>
    <n v="35"/>
    <s v="Technical"/>
    <x v="1"/>
    <x v="17"/>
  </r>
  <r>
    <d v="2024-02-25T00:00:00"/>
    <x v="3"/>
    <x v="310"/>
    <x v="2"/>
    <x v="5"/>
    <x v="2"/>
    <s v="zero"/>
    <s v="Afternoon"/>
    <s v="Business"/>
    <n v="4.49"/>
    <n v="0"/>
    <s v="None"/>
    <x v="0"/>
    <x v="26"/>
  </r>
  <r>
    <d v="2024-01-04T00:00:00"/>
    <x v="4"/>
    <x v="311"/>
    <x v="2"/>
    <x v="4"/>
    <x v="0"/>
    <s v="zero"/>
    <s v="Morning"/>
    <s v="Business"/>
    <n v="1.71"/>
    <n v="88"/>
    <s v="Air Traffic"/>
    <x v="1"/>
    <x v="10"/>
  </r>
  <r>
    <d v="2024-02-19T00:00:00"/>
    <x v="0"/>
    <x v="312"/>
    <x v="4"/>
    <x v="4"/>
    <x v="0"/>
    <s v="zero"/>
    <s v="Night"/>
    <s v="Economy"/>
    <n v="11.65"/>
    <n v="37"/>
    <s v="Air Traffic"/>
    <x v="1"/>
    <x v="13"/>
  </r>
  <r>
    <d v="2024-01-18T00:00:00"/>
    <x v="3"/>
    <x v="313"/>
    <x v="4"/>
    <x v="1"/>
    <x v="4"/>
    <s v="zero"/>
    <s v="Afternoon"/>
    <s v="Business"/>
    <n v="2.57"/>
    <n v="43"/>
    <s v="Air Traffic"/>
    <x v="1"/>
    <x v="18"/>
  </r>
  <r>
    <d v="2024-02-12T00:00:00"/>
    <x v="1"/>
    <x v="64"/>
    <x v="2"/>
    <x v="5"/>
    <x v="1"/>
    <s v="one"/>
    <s v="Afternoon"/>
    <s v="Economy"/>
    <n v="5.03"/>
    <n v="0"/>
    <s v="None"/>
    <x v="0"/>
    <x v="26"/>
  </r>
  <r>
    <d v="2024-02-10T00:00:00"/>
    <x v="1"/>
    <x v="314"/>
    <x v="5"/>
    <x v="0"/>
    <x v="2"/>
    <s v="zero"/>
    <s v="Morning"/>
    <s v="Economy"/>
    <n v="9.9600000000000009"/>
    <n v="0"/>
    <s v="None"/>
    <x v="0"/>
    <x v="27"/>
  </r>
  <r>
    <d v="2024-02-21T00:00:00"/>
    <x v="2"/>
    <x v="315"/>
    <x v="4"/>
    <x v="1"/>
    <x v="0"/>
    <s v="one"/>
    <s v="Early_Morning"/>
    <s v="Business"/>
    <n v="5.58"/>
    <n v="38"/>
    <s v="Technical"/>
    <x v="1"/>
    <x v="18"/>
  </r>
  <r>
    <d v="2024-02-07T00:00:00"/>
    <x v="2"/>
    <x v="316"/>
    <x v="1"/>
    <x v="0"/>
    <x v="0"/>
    <s v="one"/>
    <s v="Night"/>
    <s v="Business"/>
    <n v="10.33"/>
    <n v="69"/>
    <s v="Weather"/>
    <x v="1"/>
    <x v="28"/>
  </r>
  <r>
    <d v="2024-02-05T00:00:00"/>
    <x v="4"/>
    <x v="317"/>
    <x v="5"/>
    <x v="3"/>
    <x v="4"/>
    <s v="one"/>
    <s v="Morning"/>
    <s v="Economy"/>
    <n v="2.44"/>
    <n v="92"/>
    <s v="Air Traffic"/>
    <x v="1"/>
    <x v="19"/>
  </r>
  <r>
    <d v="2024-01-15T00:00:00"/>
    <x v="1"/>
    <x v="318"/>
    <x v="4"/>
    <x v="1"/>
    <x v="2"/>
    <s v="one"/>
    <s v="Afternoon"/>
    <s v="Business"/>
    <n v="6.44"/>
    <n v="0"/>
    <s v="None"/>
    <x v="0"/>
    <x v="18"/>
  </r>
  <r>
    <d v="2024-02-10T00:00:00"/>
    <x v="2"/>
    <x v="319"/>
    <x v="2"/>
    <x v="5"/>
    <x v="3"/>
    <s v="zero"/>
    <s v="Evening"/>
    <s v="Economy"/>
    <n v="4.63"/>
    <n v="116"/>
    <s v="Air Traffic"/>
    <x v="1"/>
    <x v="26"/>
  </r>
  <r>
    <d v="2024-02-25T00:00:00"/>
    <x v="4"/>
    <x v="320"/>
    <x v="1"/>
    <x v="1"/>
    <x v="2"/>
    <s v="one"/>
    <s v="Evening"/>
    <s v="Economy"/>
    <n v="9.68"/>
    <n v="0"/>
    <s v="None"/>
    <x v="0"/>
    <x v="1"/>
  </r>
  <r>
    <d v="2024-01-22T00:00:00"/>
    <x v="4"/>
    <x v="45"/>
    <x v="5"/>
    <x v="3"/>
    <x v="3"/>
    <s v="one"/>
    <s v="Evening"/>
    <s v="Economy"/>
    <n v="7.55"/>
    <n v="0"/>
    <s v="None"/>
    <x v="0"/>
    <x v="19"/>
  </r>
  <r>
    <d v="2024-02-01T00:00:00"/>
    <x v="0"/>
    <x v="321"/>
    <x v="1"/>
    <x v="5"/>
    <x v="4"/>
    <s v="one"/>
    <s v="Evening"/>
    <s v="Business"/>
    <n v="1.9"/>
    <n v="66"/>
    <s v="Weather"/>
    <x v="1"/>
    <x v="29"/>
  </r>
  <r>
    <d v="2024-02-16T00:00:00"/>
    <x v="1"/>
    <x v="322"/>
    <x v="0"/>
    <x v="0"/>
    <x v="1"/>
    <s v="zero"/>
    <s v="Morning"/>
    <s v="Economy"/>
    <n v="3.88"/>
    <n v="0"/>
    <s v="None"/>
    <x v="0"/>
    <x v="0"/>
  </r>
  <r>
    <d v="2024-01-23T00:00:00"/>
    <x v="1"/>
    <x v="323"/>
    <x v="1"/>
    <x v="3"/>
    <x v="4"/>
    <s v="one"/>
    <s v="Night"/>
    <s v="Economy"/>
    <n v="4.63"/>
    <n v="0"/>
    <s v="None"/>
    <x v="0"/>
    <x v="4"/>
  </r>
  <r>
    <d v="2024-01-30T00:00:00"/>
    <x v="2"/>
    <x v="324"/>
    <x v="2"/>
    <x v="5"/>
    <x v="2"/>
    <s v="zero"/>
    <s v="Evening"/>
    <s v="Business"/>
    <n v="9.3800000000000008"/>
    <n v="120"/>
    <s v="Technical"/>
    <x v="1"/>
    <x v="26"/>
  </r>
  <r>
    <d v="2024-03-01T00:00:00"/>
    <x v="3"/>
    <x v="152"/>
    <x v="0"/>
    <x v="1"/>
    <x v="0"/>
    <s v="zero"/>
    <s v="Morning"/>
    <s v="Economy"/>
    <n v="2.79"/>
    <n v="0"/>
    <s v="None"/>
    <x v="0"/>
    <x v="7"/>
  </r>
  <r>
    <d v="2024-02-11T00:00:00"/>
    <x v="0"/>
    <x v="325"/>
    <x v="4"/>
    <x v="1"/>
    <x v="1"/>
    <s v="zero"/>
    <s v="Night"/>
    <s v="Economy"/>
    <n v="8.36"/>
    <n v="0"/>
    <s v="None"/>
    <x v="0"/>
    <x v="18"/>
  </r>
  <r>
    <d v="2024-01-04T00:00:00"/>
    <x v="0"/>
    <x v="326"/>
    <x v="4"/>
    <x v="2"/>
    <x v="4"/>
    <s v="one"/>
    <s v="Early_Morning"/>
    <s v="Business"/>
    <n v="3.66"/>
    <n v="0"/>
    <s v="None"/>
    <x v="0"/>
    <x v="25"/>
  </r>
  <r>
    <d v="2024-02-10T00:00:00"/>
    <x v="0"/>
    <x v="327"/>
    <x v="5"/>
    <x v="2"/>
    <x v="3"/>
    <s v="one"/>
    <s v="Night"/>
    <s v="Economy"/>
    <n v="6.87"/>
    <n v="0"/>
    <s v="None"/>
    <x v="0"/>
    <x v="17"/>
  </r>
  <r>
    <d v="2024-01-08T00:00:00"/>
    <x v="1"/>
    <x v="328"/>
    <x v="0"/>
    <x v="4"/>
    <x v="4"/>
    <s v="zero"/>
    <s v="Morning"/>
    <s v="Business"/>
    <n v="5.26"/>
    <n v="0"/>
    <s v="None"/>
    <x v="0"/>
    <x v="16"/>
  </r>
  <r>
    <d v="2024-01-19T00:00:00"/>
    <x v="4"/>
    <x v="179"/>
    <x v="0"/>
    <x v="5"/>
    <x v="4"/>
    <s v="one"/>
    <s v="Morning"/>
    <s v="Business"/>
    <n v="1.63"/>
    <n v="0"/>
    <s v="None"/>
    <x v="0"/>
    <x v="11"/>
  </r>
  <r>
    <d v="2024-02-28T00:00:00"/>
    <x v="0"/>
    <x v="329"/>
    <x v="2"/>
    <x v="0"/>
    <x v="0"/>
    <s v="zero"/>
    <s v="Early_Morning"/>
    <s v="Economy"/>
    <n v="3.93"/>
    <n v="120"/>
    <s v="Air Traffic"/>
    <x v="1"/>
    <x v="14"/>
  </r>
  <r>
    <d v="2024-01-17T00:00:00"/>
    <x v="3"/>
    <x v="330"/>
    <x v="0"/>
    <x v="4"/>
    <x v="0"/>
    <s v="one"/>
    <s v="Early_Morning"/>
    <s v="Business"/>
    <n v="9.25"/>
    <n v="107"/>
    <s v="Technical"/>
    <x v="1"/>
    <x v="16"/>
  </r>
  <r>
    <d v="2024-02-24T00:00:00"/>
    <x v="0"/>
    <x v="331"/>
    <x v="0"/>
    <x v="1"/>
    <x v="0"/>
    <s v="one"/>
    <s v="Afternoon"/>
    <s v="Business"/>
    <n v="2.48"/>
    <n v="84"/>
    <s v="Air Traffic"/>
    <x v="1"/>
    <x v="7"/>
  </r>
  <r>
    <d v="2024-01-22T00:00:00"/>
    <x v="4"/>
    <x v="332"/>
    <x v="0"/>
    <x v="2"/>
    <x v="4"/>
    <s v="one"/>
    <s v="Evening"/>
    <s v="Business"/>
    <n v="8.31"/>
    <n v="93"/>
    <s v="Technical"/>
    <x v="1"/>
    <x v="12"/>
  </r>
  <r>
    <d v="2024-01-11T00:00:00"/>
    <x v="0"/>
    <x v="333"/>
    <x v="1"/>
    <x v="3"/>
    <x v="0"/>
    <s v="one"/>
    <s v="Early_Morning"/>
    <s v="Business"/>
    <n v="7.92"/>
    <n v="107"/>
    <s v="Weather"/>
    <x v="1"/>
    <x v="4"/>
  </r>
  <r>
    <d v="2024-01-23T00:00:00"/>
    <x v="2"/>
    <x v="334"/>
    <x v="0"/>
    <x v="1"/>
    <x v="4"/>
    <s v="zero"/>
    <s v="Evening"/>
    <s v="Business"/>
    <n v="2.17"/>
    <n v="0"/>
    <s v="None"/>
    <x v="0"/>
    <x v="7"/>
  </r>
  <r>
    <d v="2024-01-21T00:00:00"/>
    <x v="0"/>
    <x v="335"/>
    <x v="3"/>
    <x v="2"/>
    <x v="1"/>
    <s v="zero"/>
    <s v="Night"/>
    <s v="Business"/>
    <n v="6.04"/>
    <n v="0"/>
    <s v="None"/>
    <x v="0"/>
    <x v="21"/>
  </r>
  <r>
    <d v="2024-01-16T00:00:00"/>
    <x v="3"/>
    <x v="336"/>
    <x v="5"/>
    <x v="2"/>
    <x v="0"/>
    <s v="zero"/>
    <s v="Night"/>
    <s v="Economy"/>
    <n v="6.81"/>
    <n v="0"/>
    <s v="None"/>
    <x v="0"/>
    <x v="17"/>
  </r>
  <r>
    <d v="2024-02-24T00:00:00"/>
    <x v="3"/>
    <x v="337"/>
    <x v="1"/>
    <x v="3"/>
    <x v="4"/>
    <s v="zero"/>
    <s v="Afternoon"/>
    <s v="Business"/>
    <n v="6.82"/>
    <n v="0"/>
    <s v="None"/>
    <x v="0"/>
    <x v="4"/>
  </r>
  <r>
    <d v="2024-02-11T00:00:00"/>
    <x v="3"/>
    <x v="338"/>
    <x v="4"/>
    <x v="4"/>
    <x v="3"/>
    <s v="one"/>
    <s v="Evening"/>
    <s v="Business"/>
    <n v="4.82"/>
    <n v="16"/>
    <s v="Technical"/>
    <x v="1"/>
    <x v="13"/>
  </r>
  <r>
    <d v="2024-02-17T00:00:00"/>
    <x v="0"/>
    <x v="339"/>
    <x v="0"/>
    <x v="2"/>
    <x v="4"/>
    <s v="zero"/>
    <s v="Early_Morning"/>
    <s v="Economy"/>
    <n v="7.4"/>
    <n v="106"/>
    <s v="Air Traffic"/>
    <x v="1"/>
    <x v="12"/>
  </r>
  <r>
    <d v="2024-02-12T00:00:00"/>
    <x v="3"/>
    <x v="340"/>
    <x v="5"/>
    <x v="0"/>
    <x v="3"/>
    <s v="one"/>
    <s v="Morning"/>
    <s v="Business"/>
    <n v="8.4"/>
    <n v="76"/>
    <s v="Air Traffic"/>
    <x v="1"/>
    <x v="27"/>
  </r>
  <r>
    <d v="2024-01-29T00:00:00"/>
    <x v="0"/>
    <x v="341"/>
    <x v="0"/>
    <x v="1"/>
    <x v="3"/>
    <s v="one"/>
    <s v="Afternoon"/>
    <s v="Business"/>
    <n v="2.62"/>
    <n v="75"/>
    <s v="Air Traffic"/>
    <x v="1"/>
    <x v="7"/>
  </r>
  <r>
    <d v="2024-02-01T00:00:00"/>
    <x v="4"/>
    <x v="342"/>
    <x v="3"/>
    <x v="0"/>
    <x v="3"/>
    <s v="zero"/>
    <s v="Afternoon"/>
    <s v="Economy"/>
    <n v="6.3"/>
    <n v="20"/>
    <s v="Weather"/>
    <x v="1"/>
    <x v="20"/>
  </r>
  <r>
    <d v="2024-01-13T00:00:00"/>
    <x v="1"/>
    <x v="343"/>
    <x v="0"/>
    <x v="2"/>
    <x v="3"/>
    <s v="zero"/>
    <s v="Night"/>
    <s v="Business"/>
    <n v="11.62"/>
    <n v="0"/>
    <s v="None"/>
    <x v="0"/>
    <x v="12"/>
  </r>
  <r>
    <d v="2024-02-03T00:00:00"/>
    <x v="0"/>
    <x v="344"/>
    <x v="2"/>
    <x v="0"/>
    <x v="1"/>
    <s v="zero"/>
    <s v="Evening"/>
    <s v="Economy"/>
    <n v="2.59"/>
    <n v="0"/>
    <s v="None"/>
    <x v="0"/>
    <x v="14"/>
  </r>
  <r>
    <d v="2024-02-08T00:00:00"/>
    <x v="2"/>
    <x v="345"/>
    <x v="5"/>
    <x v="5"/>
    <x v="4"/>
    <s v="zero"/>
    <s v="Evening"/>
    <s v="Business"/>
    <n v="6.25"/>
    <n v="55"/>
    <s v="Technical"/>
    <x v="1"/>
    <x v="23"/>
  </r>
  <r>
    <d v="2024-01-09T00:00:00"/>
    <x v="3"/>
    <x v="346"/>
    <x v="2"/>
    <x v="5"/>
    <x v="2"/>
    <s v="one"/>
    <s v="Night"/>
    <s v="Economy"/>
    <n v="8.0500000000000007"/>
    <n v="0"/>
    <s v="None"/>
    <x v="0"/>
    <x v="26"/>
  </r>
  <r>
    <d v="2024-02-13T00:00:00"/>
    <x v="1"/>
    <x v="347"/>
    <x v="3"/>
    <x v="4"/>
    <x v="0"/>
    <s v="one"/>
    <s v="Night"/>
    <s v="Economy"/>
    <n v="6.54"/>
    <n v="102"/>
    <s v="Air Traffic"/>
    <x v="1"/>
    <x v="6"/>
  </r>
  <r>
    <d v="2024-03-01T00:00:00"/>
    <x v="3"/>
    <x v="348"/>
    <x v="3"/>
    <x v="2"/>
    <x v="2"/>
    <s v="zero"/>
    <s v="Evening"/>
    <s v="Economy"/>
    <n v="2.06"/>
    <n v="8"/>
    <s v="Weather"/>
    <x v="1"/>
    <x v="21"/>
  </r>
  <r>
    <d v="2024-01-13T00:00:00"/>
    <x v="1"/>
    <x v="349"/>
    <x v="1"/>
    <x v="0"/>
    <x v="2"/>
    <s v="zero"/>
    <s v="Morning"/>
    <s v="Business"/>
    <n v="5.27"/>
    <n v="0"/>
    <s v="None"/>
    <x v="0"/>
    <x v="28"/>
  </r>
  <r>
    <d v="2024-01-07T00:00:00"/>
    <x v="2"/>
    <x v="350"/>
    <x v="3"/>
    <x v="2"/>
    <x v="0"/>
    <s v="one"/>
    <s v="Night"/>
    <s v="Economy"/>
    <n v="8.48"/>
    <n v="70"/>
    <s v="Air Traffic"/>
    <x v="1"/>
    <x v="21"/>
  </r>
  <r>
    <d v="2024-01-25T00:00:00"/>
    <x v="3"/>
    <x v="351"/>
    <x v="3"/>
    <x v="1"/>
    <x v="1"/>
    <s v="zero"/>
    <s v="Early_Morning"/>
    <s v="Business"/>
    <n v="11.07"/>
    <n v="30"/>
    <s v="Weather"/>
    <x v="1"/>
    <x v="5"/>
  </r>
  <r>
    <d v="2024-02-15T00:00:00"/>
    <x v="1"/>
    <x v="352"/>
    <x v="2"/>
    <x v="5"/>
    <x v="1"/>
    <s v="zero"/>
    <s v="Morning"/>
    <s v="Business"/>
    <n v="11.83"/>
    <n v="0"/>
    <s v="None"/>
    <x v="0"/>
    <x v="26"/>
  </r>
  <r>
    <d v="2024-01-12T00:00:00"/>
    <x v="4"/>
    <x v="353"/>
    <x v="3"/>
    <x v="2"/>
    <x v="3"/>
    <s v="zero"/>
    <s v="Evening"/>
    <s v="Business"/>
    <n v="3.19"/>
    <n v="40"/>
    <s v="Weather"/>
    <x v="1"/>
    <x v="21"/>
  </r>
  <r>
    <d v="2024-01-17T00:00:00"/>
    <x v="0"/>
    <x v="354"/>
    <x v="5"/>
    <x v="2"/>
    <x v="0"/>
    <s v="zero"/>
    <s v="Early_Morning"/>
    <s v="Business"/>
    <n v="9.6199999999999992"/>
    <n v="0"/>
    <s v="None"/>
    <x v="0"/>
    <x v="17"/>
  </r>
  <r>
    <d v="2024-02-09T00:00:00"/>
    <x v="1"/>
    <x v="355"/>
    <x v="4"/>
    <x v="5"/>
    <x v="1"/>
    <s v="zero"/>
    <s v="Afternoon"/>
    <s v="Business"/>
    <n v="11.55"/>
    <n v="0"/>
    <s v="None"/>
    <x v="0"/>
    <x v="8"/>
  </r>
  <r>
    <d v="2024-01-05T00:00:00"/>
    <x v="2"/>
    <x v="356"/>
    <x v="1"/>
    <x v="2"/>
    <x v="1"/>
    <s v="one"/>
    <s v="Night"/>
    <s v="Economy"/>
    <n v="10.78"/>
    <n v="0"/>
    <s v="None"/>
    <x v="0"/>
    <x v="2"/>
  </r>
  <r>
    <d v="2024-01-22T00:00:00"/>
    <x v="1"/>
    <x v="357"/>
    <x v="5"/>
    <x v="0"/>
    <x v="0"/>
    <s v="one"/>
    <s v="Night"/>
    <s v="Economy"/>
    <n v="4.0199999999999996"/>
    <n v="19"/>
    <s v="Technical"/>
    <x v="1"/>
    <x v="27"/>
  </r>
  <r>
    <d v="2024-02-09T00:00:00"/>
    <x v="2"/>
    <x v="358"/>
    <x v="1"/>
    <x v="3"/>
    <x v="2"/>
    <s v="zero"/>
    <s v="Evening"/>
    <s v="Business"/>
    <n v="11.07"/>
    <n v="37"/>
    <s v="Weather"/>
    <x v="1"/>
    <x v="4"/>
  </r>
  <r>
    <d v="2024-02-19T00:00:00"/>
    <x v="1"/>
    <x v="359"/>
    <x v="2"/>
    <x v="5"/>
    <x v="4"/>
    <s v="zero"/>
    <s v="Evening"/>
    <s v="Business"/>
    <n v="4.8600000000000003"/>
    <n v="0"/>
    <s v="None"/>
    <x v="0"/>
    <x v="26"/>
  </r>
  <r>
    <d v="2024-03-01T00:00:00"/>
    <x v="0"/>
    <x v="360"/>
    <x v="1"/>
    <x v="5"/>
    <x v="1"/>
    <s v="zero"/>
    <s v="Early_Morning"/>
    <s v="Economy"/>
    <n v="10.58"/>
    <n v="0"/>
    <s v="None"/>
    <x v="0"/>
    <x v="29"/>
  </r>
  <r>
    <d v="2024-02-23T00:00:00"/>
    <x v="0"/>
    <x v="361"/>
    <x v="1"/>
    <x v="5"/>
    <x v="4"/>
    <s v="zero"/>
    <s v="Early_Morning"/>
    <s v="Economy"/>
    <n v="2.42"/>
    <n v="63"/>
    <s v="Weather"/>
    <x v="1"/>
    <x v="29"/>
  </r>
  <r>
    <d v="2024-01-12T00:00:00"/>
    <x v="1"/>
    <x v="362"/>
    <x v="2"/>
    <x v="3"/>
    <x v="1"/>
    <s v="one"/>
    <s v="Morning"/>
    <s v="Business"/>
    <n v="5.75"/>
    <n v="54"/>
    <s v="Air Traffic"/>
    <x v="1"/>
    <x v="22"/>
  </r>
  <r>
    <d v="2024-01-02T00:00:00"/>
    <x v="3"/>
    <x v="363"/>
    <x v="3"/>
    <x v="3"/>
    <x v="1"/>
    <s v="zero"/>
    <s v="Early_Morning"/>
    <s v="Economy"/>
    <n v="5.26"/>
    <n v="0"/>
    <s v="None"/>
    <x v="0"/>
    <x v="9"/>
  </r>
  <r>
    <d v="2024-01-07T00:00:00"/>
    <x v="1"/>
    <x v="364"/>
    <x v="3"/>
    <x v="1"/>
    <x v="1"/>
    <s v="one"/>
    <s v="Early_Morning"/>
    <s v="Business"/>
    <n v="1.82"/>
    <n v="53"/>
    <s v="Air Traffic"/>
    <x v="1"/>
    <x v="5"/>
  </r>
  <r>
    <d v="2024-02-04T00:00:00"/>
    <x v="4"/>
    <x v="365"/>
    <x v="1"/>
    <x v="2"/>
    <x v="1"/>
    <s v="zero"/>
    <s v="Afternoon"/>
    <s v="Business"/>
    <n v="7.31"/>
    <n v="91"/>
    <s v="Weather"/>
    <x v="1"/>
    <x v="2"/>
  </r>
  <r>
    <d v="2024-01-10T00:00:00"/>
    <x v="0"/>
    <x v="366"/>
    <x v="0"/>
    <x v="4"/>
    <x v="1"/>
    <s v="one"/>
    <s v="Night"/>
    <s v="Economy"/>
    <n v="9.36"/>
    <n v="0"/>
    <s v="None"/>
    <x v="0"/>
    <x v="16"/>
  </r>
  <r>
    <d v="2024-01-23T00:00:00"/>
    <x v="4"/>
    <x v="367"/>
    <x v="4"/>
    <x v="5"/>
    <x v="0"/>
    <s v="zero"/>
    <s v="Morning"/>
    <s v="Economy"/>
    <n v="2.7"/>
    <n v="83"/>
    <s v="Weather"/>
    <x v="1"/>
    <x v="8"/>
  </r>
  <r>
    <d v="2024-02-21T00:00:00"/>
    <x v="2"/>
    <x v="368"/>
    <x v="0"/>
    <x v="5"/>
    <x v="4"/>
    <s v="zero"/>
    <s v="Night"/>
    <s v="Business"/>
    <n v="4.13"/>
    <n v="0"/>
    <s v="None"/>
    <x v="0"/>
    <x v="11"/>
  </r>
  <r>
    <d v="2024-02-16T00:00:00"/>
    <x v="2"/>
    <x v="369"/>
    <x v="4"/>
    <x v="1"/>
    <x v="2"/>
    <s v="zero"/>
    <s v="Morning"/>
    <s v="Economy"/>
    <n v="10.95"/>
    <n v="0"/>
    <s v="None"/>
    <x v="0"/>
    <x v="18"/>
  </r>
  <r>
    <d v="2024-02-01T00:00:00"/>
    <x v="3"/>
    <x v="370"/>
    <x v="5"/>
    <x v="5"/>
    <x v="2"/>
    <s v="zero"/>
    <s v="Night"/>
    <s v="Business"/>
    <n v="3.27"/>
    <n v="108"/>
    <s v="Technical"/>
    <x v="1"/>
    <x v="23"/>
  </r>
  <r>
    <d v="2024-01-16T00:00:00"/>
    <x v="4"/>
    <x v="371"/>
    <x v="3"/>
    <x v="0"/>
    <x v="2"/>
    <s v="zero"/>
    <s v="Afternoon"/>
    <s v="Business"/>
    <n v="6.18"/>
    <n v="117"/>
    <s v="Technical"/>
    <x v="1"/>
    <x v="20"/>
  </r>
  <r>
    <d v="2024-01-20T00:00:00"/>
    <x v="3"/>
    <x v="372"/>
    <x v="2"/>
    <x v="3"/>
    <x v="0"/>
    <s v="zero"/>
    <s v="Night"/>
    <s v="Business"/>
    <n v="10.86"/>
    <n v="0"/>
    <s v="None"/>
    <x v="0"/>
    <x v="22"/>
  </r>
  <r>
    <d v="2024-01-17T00:00:00"/>
    <x v="0"/>
    <x v="81"/>
    <x v="3"/>
    <x v="3"/>
    <x v="3"/>
    <s v="zero"/>
    <s v="Night"/>
    <s v="Business"/>
    <n v="11.02"/>
    <n v="0"/>
    <s v="None"/>
    <x v="0"/>
    <x v="9"/>
  </r>
  <r>
    <d v="2024-01-17T00:00:00"/>
    <x v="2"/>
    <x v="373"/>
    <x v="2"/>
    <x v="0"/>
    <x v="0"/>
    <s v="one"/>
    <s v="Afternoon"/>
    <s v="Economy"/>
    <n v="6.38"/>
    <n v="119"/>
    <s v="Weather"/>
    <x v="1"/>
    <x v="14"/>
  </r>
  <r>
    <d v="2024-01-06T00:00:00"/>
    <x v="3"/>
    <x v="374"/>
    <x v="5"/>
    <x v="5"/>
    <x v="3"/>
    <s v="zero"/>
    <s v="Morning"/>
    <s v="Economy"/>
    <n v="3.38"/>
    <n v="0"/>
    <s v="None"/>
    <x v="0"/>
    <x v="23"/>
  </r>
  <r>
    <d v="2024-02-12T00:00:00"/>
    <x v="4"/>
    <x v="132"/>
    <x v="3"/>
    <x v="0"/>
    <x v="2"/>
    <s v="zero"/>
    <s v="Early_Morning"/>
    <s v="Business"/>
    <n v="4.28"/>
    <n v="0"/>
    <s v="None"/>
    <x v="0"/>
    <x v="20"/>
  </r>
  <r>
    <d v="2024-01-03T00:00:00"/>
    <x v="4"/>
    <x v="197"/>
    <x v="2"/>
    <x v="1"/>
    <x v="4"/>
    <s v="one"/>
    <s v="Evening"/>
    <s v="Economy"/>
    <n v="8.89"/>
    <n v="10"/>
    <s v="Weather"/>
    <x v="1"/>
    <x v="3"/>
  </r>
  <r>
    <d v="2024-02-10T00:00:00"/>
    <x v="1"/>
    <x v="375"/>
    <x v="3"/>
    <x v="1"/>
    <x v="1"/>
    <s v="zero"/>
    <s v="Night"/>
    <s v="Business"/>
    <n v="7.67"/>
    <n v="88"/>
    <s v="Technical"/>
    <x v="1"/>
    <x v="5"/>
  </r>
  <r>
    <d v="2024-01-05T00:00:00"/>
    <x v="2"/>
    <x v="376"/>
    <x v="5"/>
    <x v="2"/>
    <x v="0"/>
    <s v="one"/>
    <s v="Night"/>
    <s v="Business"/>
    <n v="9.82"/>
    <n v="109"/>
    <s v="Technical"/>
    <x v="1"/>
    <x v="17"/>
  </r>
  <r>
    <d v="2024-01-01T00:00:00"/>
    <x v="2"/>
    <x v="377"/>
    <x v="1"/>
    <x v="2"/>
    <x v="0"/>
    <s v="zero"/>
    <s v="Morning"/>
    <s v="Business"/>
    <n v="3.46"/>
    <n v="0"/>
    <s v="None"/>
    <x v="0"/>
    <x v="2"/>
  </r>
  <r>
    <d v="2024-02-08T00:00:00"/>
    <x v="0"/>
    <x v="378"/>
    <x v="3"/>
    <x v="4"/>
    <x v="4"/>
    <s v="zero"/>
    <s v="Afternoon"/>
    <s v="Business"/>
    <n v="3.71"/>
    <n v="91"/>
    <s v="Technical"/>
    <x v="1"/>
    <x v="6"/>
  </r>
  <r>
    <d v="2024-02-11T00:00:00"/>
    <x v="3"/>
    <x v="379"/>
    <x v="0"/>
    <x v="1"/>
    <x v="3"/>
    <s v="zero"/>
    <s v="Morning"/>
    <s v="Economy"/>
    <n v="10.85"/>
    <n v="0"/>
    <s v="None"/>
    <x v="0"/>
    <x v="7"/>
  </r>
  <r>
    <d v="2024-01-04T00:00:00"/>
    <x v="4"/>
    <x v="380"/>
    <x v="5"/>
    <x v="4"/>
    <x v="1"/>
    <s v="zero"/>
    <s v="Evening"/>
    <s v="Business"/>
    <n v="6.22"/>
    <n v="0"/>
    <s v="None"/>
    <x v="0"/>
    <x v="24"/>
  </r>
  <r>
    <d v="2024-02-25T00:00:00"/>
    <x v="3"/>
    <x v="381"/>
    <x v="1"/>
    <x v="1"/>
    <x v="4"/>
    <s v="zero"/>
    <s v="Night"/>
    <s v="Economy"/>
    <n v="9.1"/>
    <n v="84"/>
    <s v="Weather"/>
    <x v="1"/>
    <x v="1"/>
  </r>
  <r>
    <d v="2024-02-29T00:00:00"/>
    <x v="3"/>
    <x v="382"/>
    <x v="2"/>
    <x v="5"/>
    <x v="3"/>
    <s v="one"/>
    <s v="Morning"/>
    <s v="Business"/>
    <n v="1.67"/>
    <n v="0"/>
    <s v="None"/>
    <x v="0"/>
    <x v="26"/>
  </r>
  <r>
    <d v="2024-02-25T00:00:00"/>
    <x v="2"/>
    <x v="383"/>
    <x v="3"/>
    <x v="0"/>
    <x v="0"/>
    <s v="zero"/>
    <s v="Night"/>
    <s v="Economy"/>
    <n v="10.72"/>
    <n v="0"/>
    <s v="None"/>
    <x v="0"/>
    <x v="20"/>
  </r>
  <r>
    <d v="2024-02-02T00:00:00"/>
    <x v="0"/>
    <x v="384"/>
    <x v="0"/>
    <x v="2"/>
    <x v="0"/>
    <s v="zero"/>
    <s v="Night"/>
    <s v="Business"/>
    <n v="10.69"/>
    <n v="71"/>
    <s v="Technical"/>
    <x v="1"/>
    <x v="12"/>
  </r>
  <r>
    <d v="2024-02-03T00:00:00"/>
    <x v="3"/>
    <x v="385"/>
    <x v="1"/>
    <x v="2"/>
    <x v="4"/>
    <s v="zero"/>
    <s v="Afternoon"/>
    <s v="Business"/>
    <n v="9.5399999999999991"/>
    <n v="22"/>
    <s v="Technical"/>
    <x v="1"/>
    <x v="2"/>
  </r>
  <r>
    <d v="2024-01-06T00:00:00"/>
    <x v="1"/>
    <x v="386"/>
    <x v="2"/>
    <x v="5"/>
    <x v="4"/>
    <s v="zero"/>
    <s v="Afternoon"/>
    <s v="Economy"/>
    <n v="7.57"/>
    <n v="0"/>
    <s v="None"/>
    <x v="0"/>
    <x v="26"/>
  </r>
  <r>
    <d v="2024-02-03T00:00:00"/>
    <x v="0"/>
    <x v="387"/>
    <x v="4"/>
    <x v="4"/>
    <x v="2"/>
    <s v="one"/>
    <s v="Evening"/>
    <s v="Economy"/>
    <n v="7.65"/>
    <n v="24"/>
    <s v="Air Traffic"/>
    <x v="1"/>
    <x v="13"/>
  </r>
  <r>
    <d v="2024-02-24T00:00:00"/>
    <x v="2"/>
    <x v="388"/>
    <x v="4"/>
    <x v="5"/>
    <x v="2"/>
    <s v="one"/>
    <s v="Night"/>
    <s v="Business"/>
    <n v="5.84"/>
    <n v="0"/>
    <s v="None"/>
    <x v="0"/>
    <x v="8"/>
  </r>
  <r>
    <d v="2024-02-05T00:00:00"/>
    <x v="3"/>
    <x v="389"/>
    <x v="1"/>
    <x v="0"/>
    <x v="1"/>
    <s v="one"/>
    <s v="Night"/>
    <s v="Business"/>
    <n v="5.68"/>
    <n v="44"/>
    <s v="Air Traffic"/>
    <x v="1"/>
    <x v="28"/>
  </r>
  <r>
    <d v="2024-02-24T00:00:00"/>
    <x v="0"/>
    <x v="390"/>
    <x v="3"/>
    <x v="4"/>
    <x v="4"/>
    <s v="zero"/>
    <s v="Morning"/>
    <s v="Economy"/>
    <n v="9.91"/>
    <n v="70"/>
    <s v="Technical"/>
    <x v="1"/>
    <x v="6"/>
  </r>
  <r>
    <d v="2024-02-14T00:00:00"/>
    <x v="0"/>
    <x v="135"/>
    <x v="1"/>
    <x v="2"/>
    <x v="3"/>
    <s v="zero"/>
    <s v="Early_Morning"/>
    <s v="Business"/>
    <n v="2.17"/>
    <n v="81"/>
    <s v="Weather"/>
    <x v="1"/>
    <x v="2"/>
  </r>
  <r>
    <d v="2024-01-24T00:00:00"/>
    <x v="0"/>
    <x v="391"/>
    <x v="2"/>
    <x v="3"/>
    <x v="4"/>
    <s v="one"/>
    <s v="Evening"/>
    <s v="Economy"/>
    <n v="8.2200000000000006"/>
    <n v="0"/>
    <s v="None"/>
    <x v="0"/>
    <x v="22"/>
  </r>
  <r>
    <d v="2024-01-01T00:00:00"/>
    <x v="4"/>
    <x v="392"/>
    <x v="3"/>
    <x v="2"/>
    <x v="2"/>
    <s v="zero"/>
    <s v="Morning"/>
    <s v="Economy"/>
    <n v="8.58"/>
    <n v="0"/>
    <s v="None"/>
    <x v="0"/>
    <x v="21"/>
  </r>
  <r>
    <d v="2024-01-16T00:00:00"/>
    <x v="0"/>
    <x v="393"/>
    <x v="1"/>
    <x v="3"/>
    <x v="2"/>
    <s v="one"/>
    <s v="Evening"/>
    <s v="Business"/>
    <n v="6.94"/>
    <n v="0"/>
    <s v="None"/>
    <x v="0"/>
    <x v="4"/>
  </r>
  <r>
    <d v="2024-02-15T00:00:00"/>
    <x v="0"/>
    <x v="394"/>
    <x v="0"/>
    <x v="5"/>
    <x v="2"/>
    <s v="one"/>
    <s v="Night"/>
    <s v="Business"/>
    <n v="7.87"/>
    <n v="109"/>
    <s v="Weather"/>
    <x v="1"/>
    <x v="11"/>
  </r>
  <r>
    <d v="2024-01-30T00:00:00"/>
    <x v="3"/>
    <x v="395"/>
    <x v="2"/>
    <x v="3"/>
    <x v="2"/>
    <s v="one"/>
    <s v="Morning"/>
    <s v="Economy"/>
    <n v="6.78"/>
    <n v="0"/>
    <s v="None"/>
    <x v="0"/>
    <x v="22"/>
  </r>
  <r>
    <d v="2024-03-01T00:00:00"/>
    <x v="0"/>
    <x v="396"/>
    <x v="2"/>
    <x v="1"/>
    <x v="1"/>
    <s v="one"/>
    <s v="Night"/>
    <s v="Business"/>
    <n v="9.4499999999999993"/>
    <n v="53"/>
    <s v="Weather"/>
    <x v="1"/>
    <x v="3"/>
  </r>
  <r>
    <d v="2024-01-30T00:00:00"/>
    <x v="3"/>
    <x v="397"/>
    <x v="2"/>
    <x v="3"/>
    <x v="4"/>
    <s v="one"/>
    <s v="Early_Morning"/>
    <s v="Economy"/>
    <n v="8.61"/>
    <n v="0"/>
    <s v="None"/>
    <x v="0"/>
    <x v="22"/>
  </r>
  <r>
    <d v="2024-02-21T00:00:00"/>
    <x v="1"/>
    <x v="398"/>
    <x v="4"/>
    <x v="1"/>
    <x v="1"/>
    <s v="zero"/>
    <s v="Night"/>
    <s v="Business"/>
    <n v="5.69"/>
    <n v="36"/>
    <s v="Weather"/>
    <x v="1"/>
    <x v="18"/>
  </r>
  <r>
    <d v="2024-02-22T00:00:00"/>
    <x v="1"/>
    <x v="399"/>
    <x v="0"/>
    <x v="5"/>
    <x v="0"/>
    <s v="one"/>
    <s v="Evening"/>
    <s v="Business"/>
    <n v="11.44"/>
    <n v="32"/>
    <s v="Weather"/>
    <x v="1"/>
    <x v="11"/>
  </r>
  <r>
    <d v="2024-02-29T00:00:00"/>
    <x v="4"/>
    <x v="400"/>
    <x v="4"/>
    <x v="4"/>
    <x v="0"/>
    <s v="one"/>
    <s v="Morning"/>
    <s v="Economy"/>
    <n v="10.27"/>
    <n v="0"/>
    <s v="None"/>
    <x v="0"/>
    <x v="13"/>
  </r>
  <r>
    <d v="2024-02-09T00:00:00"/>
    <x v="1"/>
    <x v="401"/>
    <x v="1"/>
    <x v="3"/>
    <x v="3"/>
    <s v="one"/>
    <s v="Early_Morning"/>
    <s v="Economy"/>
    <n v="10.4"/>
    <n v="0"/>
    <s v="None"/>
    <x v="0"/>
    <x v="4"/>
  </r>
  <r>
    <d v="2024-02-09T00:00:00"/>
    <x v="1"/>
    <x v="402"/>
    <x v="4"/>
    <x v="5"/>
    <x v="2"/>
    <s v="zero"/>
    <s v="Evening"/>
    <s v="Business"/>
    <n v="9.3800000000000008"/>
    <n v="0"/>
    <s v="None"/>
    <x v="0"/>
    <x v="8"/>
  </r>
  <r>
    <d v="2024-01-04T00:00:00"/>
    <x v="2"/>
    <x v="403"/>
    <x v="4"/>
    <x v="2"/>
    <x v="1"/>
    <s v="one"/>
    <s v="Early_Morning"/>
    <s v="Business"/>
    <n v="6.3"/>
    <n v="0"/>
    <s v="None"/>
    <x v="0"/>
    <x v="25"/>
  </r>
  <r>
    <d v="2024-02-14T00:00:00"/>
    <x v="2"/>
    <x v="404"/>
    <x v="4"/>
    <x v="1"/>
    <x v="3"/>
    <s v="zero"/>
    <s v="Early_Morning"/>
    <s v="Business"/>
    <n v="4.92"/>
    <n v="0"/>
    <s v="None"/>
    <x v="0"/>
    <x v="18"/>
  </r>
  <r>
    <d v="2024-02-25T00:00:00"/>
    <x v="1"/>
    <x v="405"/>
    <x v="1"/>
    <x v="5"/>
    <x v="2"/>
    <s v="one"/>
    <s v="Morning"/>
    <s v="Business"/>
    <n v="3.43"/>
    <n v="83"/>
    <s v="Technical"/>
    <x v="1"/>
    <x v="29"/>
  </r>
  <r>
    <d v="2024-01-14T00:00:00"/>
    <x v="3"/>
    <x v="406"/>
    <x v="3"/>
    <x v="1"/>
    <x v="2"/>
    <s v="one"/>
    <s v="Evening"/>
    <s v="Business"/>
    <n v="11.78"/>
    <n v="0"/>
    <s v="None"/>
    <x v="0"/>
    <x v="5"/>
  </r>
  <r>
    <d v="2024-01-15T00:00:00"/>
    <x v="0"/>
    <x v="407"/>
    <x v="3"/>
    <x v="1"/>
    <x v="0"/>
    <s v="one"/>
    <s v="Night"/>
    <s v="Business"/>
    <n v="9.9"/>
    <n v="0"/>
    <s v="None"/>
    <x v="0"/>
    <x v="5"/>
  </r>
  <r>
    <d v="2024-01-10T00:00:00"/>
    <x v="3"/>
    <x v="385"/>
    <x v="0"/>
    <x v="1"/>
    <x v="4"/>
    <s v="zero"/>
    <s v="Evening"/>
    <s v="Business"/>
    <n v="4.1399999999999997"/>
    <n v="105"/>
    <s v="Technical"/>
    <x v="1"/>
    <x v="7"/>
  </r>
  <r>
    <d v="2024-02-06T00:00:00"/>
    <x v="0"/>
    <x v="408"/>
    <x v="4"/>
    <x v="3"/>
    <x v="0"/>
    <s v="zero"/>
    <s v="Early_Morning"/>
    <s v="Business"/>
    <n v="6.22"/>
    <n v="0"/>
    <s v="None"/>
    <x v="0"/>
    <x v="15"/>
  </r>
  <r>
    <d v="2024-01-17T00:00:00"/>
    <x v="1"/>
    <x v="409"/>
    <x v="5"/>
    <x v="5"/>
    <x v="1"/>
    <s v="one"/>
    <s v="Afternoon"/>
    <s v="Economy"/>
    <n v="5.19"/>
    <n v="0"/>
    <s v="None"/>
    <x v="0"/>
    <x v="23"/>
  </r>
  <r>
    <d v="2024-02-08T00:00:00"/>
    <x v="4"/>
    <x v="410"/>
    <x v="2"/>
    <x v="5"/>
    <x v="1"/>
    <s v="one"/>
    <s v="Morning"/>
    <s v="Business"/>
    <n v="6.19"/>
    <n v="46"/>
    <s v="Air Traffic"/>
    <x v="1"/>
    <x v="26"/>
  </r>
  <r>
    <d v="2024-01-25T00:00:00"/>
    <x v="2"/>
    <x v="411"/>
    <x v="5"/>
    <x v="2"/>
    <x v="0"/>
    <s v="one"/>
    <s v="Morning"/>
    <s v="Business"/>
    <n v="2.33"/>
    <n v="85"/>
    <s v="Weather"/>
    <x v="1"/>
    <x v="17"/>
  </r>
  <r>
    <d v="2024-01-15T00:00:00"/>
    <x v="1"/>
    <x v="355"/>
    <x v="5"/>
    <x v="0"/>
    <x v="2"/>
    <s v="one"/>
    <s v="Night"/>
    <s v="Business"/>
    <n v="9.35"/>
    <n v="118"/>
    <s v="Technical"/>
    <x v="1"/>
    <x v="27"/>
  </r>
  <r>
    <d v="2024-01-29T00:00:00"/>
    <x v="3"/>
    <x v="412"/>
    <x v="1"/>
    <x v="1"/>
    <x v="3"/>
    <s v="zero"/>
    <s v="Morning"/>
    <s v="Business"/>
    <n v="3.71"/>
    <n v="0"/>
    <s v="None"/>
    <x v="0"/>
    <x v="1"/>
  </r>
  <r>
    <d v="2024-01-07T00:00:00"/>
    <x v="0"/>
    <x v="327"/>
    <x v="0"/>
    <x v="2"/>
    <x v="1"/>
    <s v="zero"/>
    <s v="Early_Morning"/>
    <s v="Business"/>
    <n v="2.59"/>
    <n v="0"/>
    <s v="None"/>
    <x v="0"/>
    <x v="12"/>
  </r>
  <r>
    <d v="2024-01-10T00:00:00"/>
    <x v="0"/>
    <x v="413"/>
    <x v="3"/>
    <x v="0"/>
    <x v="2"/>
    <s v="zero"/>
    <s v="Morning"/>
    <s v="Business"/>
    <n v="2.88"/>
    <n v="0"/>
    <s v="None"/>
    <x v="0"/>
    <x v="20"/>
  </r>
  <r>
    <d v="2024-01-11T00:00:00"/>
    <x v="0"/>
    <x v="384"/>
    <x v="0"/>
    <x v="0"/>
    <x v="2"/>
    <s v="one"/>
    <s v="Evening"/>
    <s v="Business"/>
    <n v="11.68"/>
    <n v="75"/>
    <s v="Weather"/>
    <x v="1"/>
    <x v="0"/>
  </r>
  <r>
    <d v="2024-02-04T00:00:00"/>
    <x v="4"/>
    <x v="179"/>
    <x v="2"/>
    <x v="5"/>
    <x v="4"/>
    <s v="one"/>
    <s v="Night"/>
    <s v="Business"/>
    <n v="3.88"/>
    <n v="49"/>
    <s v="Air Traffic"/>
    <x v="1"/>
    <x v="26"/>
  </r>
  <r>
    <d v="2024-01-29T00:00:00"/>
    <x v="1"/>
    <x v="414"/>
    <x v="5"/>
    <x v="2"/>
    <x v="2"/>
    <s v="one"/>
    <s v="Morning"/>
    <s v="Economy"/>
    <n v="5.1100000000000003"/>
    <n v="0"/>
    <s v="None"/>
    <x v="0"/>
    <x v="17"/>
  </r>
  <r>
    <d v="2024-02-04T00:00:00"/>
    <x v="0"/>
    <x v="415"/>
    <x v="3"/>
    <x v="0"/>
    <x v="4"/>
    <s v="zero"/>
    <s v="Afternoon"/>
    <s v="Business"/>
    <n v="3.93"/>
    <n v="107"/>
    <s v="Air Traffic"/>
    <x v="1"/>
    <x v="20"/>
  </r>
  <r>
    <d v="2024-02-05T00:00:00"/>
    <x v="1"/>
    <x v="416"/>
    <x v="1"/>
    <x v="2"/>
    <x v="1"/>
    <s v="one"/>
    <s v="Evening"/>
    <s v="Economy"/>
    <n v="3.82"/>
    <n v="25"/>
    <s v="Technical"/>
    <x v="1"/>
    <x v="2"/>
  </r>
  <r>
    <d v="2024-01-28T00:00:00"/>
    <x v="4"/>
    <x v="417"/>
    <x v="2"/>
    <x v="5"/>
    <x v="2"/>
    <s v="one"/>
    <s v="Afternoon"/>
    <s v="Business"/>
    <n v="3.42"/>
    <n v="0"/>
    <s v="None"/>
    <x v="0"/>
    <x v="26"/>
  </r>
  <r>
    <d v="2024-01-08T00:00:00"/>
    <x v="3"/>
    <x v="418"/>
    <x v="2"/>
    <x v="0"/>
    <x v="2"/>
    <s v="one"/>
    <s v="Night"/>
    <s v="Economy"/>
    <n v="3.1"/>
    <n v="0"/>
    <s v="None"/>
    <x v="0"/>
    <x v="14"/>
  </r>
  <r>
    <d v="2024-01-02T00:00:00"/>
    <x v="4"/>
    <x v="419"/>
    <x v="0"/>
    <x v="0"/>
    <x v="2"/>
    <s v="one"/>
    <s v="Morning"/>
    <s v="Economy"/>
    <n v="3.08"/>
    <n v="0"/>
    <s v="None"/>
    <x v="0"/>
    <x v="0"/>
  </r>
  <r>
    <d v="2024-01-14T00:00:00"/>
    <x v="1"/>
    <x v="420"/>
    <x v="4"/>
    <x v="1"/>
    <x v="4"/>
    <s v="one"/>
    <s v="Afternoon"/>
    <s v="Economy"/>
    <n v="10.36"/>
    <n v="0"/>
    <s v="None"/>
    <x v="0"/>
    <x v="18"/>
  </r>
  <r>
    <d v="2024-01-04T00:00:00"/>
    <x v="1"/>
    <x v="421"/>
    <x v="4"/>
    <x v="3"/>
    <x v="1"/>
    <s v="zero"/>
    <s v="Evening"/>
    <s v="Economy"/>
    <n v="10.199999999999999"/>
    <n v="119"/>
    <s v="Technical"/>
    <x v="1"/>
    <x v="15"/>
  </r>
  <r>
    <d v="2024-02-19T00:00:00"/>
    <x v="4"/>
    <x v="422"/>
    <x v="4"/>
    <x v="2"/>
    <x v="0"/>
    <s v="zero"/>
    <s v="Early_Morning"/>
    <s v="Business"/>
    <n v="6.97"/>
    <n v="0"/>
    <s v="None"/>
    <x v="0"/>
    <x v="25"/>
  </r>
  <r>
    <d v="2024-01-31T00:00:00"/>
    <x v="3"/>
    <x v="423"/>
    <x v="3"/>
    <x v="1"/>
    <x v="2"/>
    <s v="zero"/>
    <s v="Morning"/>
    <s v="Economy"/>
    <n v="4.6399999999999997"/>
    <n v="37"/>
    <s v="Air Traffic"/>
    <x v="1"/>
    <x v="5"/>
  </r>
  <r>
    <d v="2024-02-26T00:00:00"/>
    <x v="0"/>
    <x v="424"/>
    <x v="3"/>
    <x v="4"/>
    <x v="3"/>
    <s v="one"/>
    <s v="Morning"/>
    <s v="Business"/>
    <n v="9.84"/>
    <n v="0"/>
    <s v="None"/>
    <x v="0"/>
    <x v="6"/>
  </r>
  <r>
    <d v="2024-01-08T00:00:00"/>
    <x v="3"/>
    <x v="425"/>
    <x v="1"/>
    <x v="3"/>
    <x v="3"/>
    <s v="one"/>
    <s v="Night"/>
    <s v="Economy"/>
    <n v="4.1100000000000003"/>
    <n v="0"/>
    <s v="None"/>
    <x v="0"/>
    <x v="4"/>
  </r>
  <r>
    <d v="2024-01-06T00:00:00"/>
    <x v="2"/>
    <x v="426"/>
    <x v="5"/>
    <x v="3"/>
    <x v="3"/>
    <s v="zero"/>
    <s v="Afternoon"/>
    <s v="Economy"/>
    <n v="4.83"/>
    <n v="21"/>
    <s v="Weather"/>
    <x v="1"/>
    <x v="19"/>
  </r>
  <r>
    <d v="2024-02-20T00:00:00"/>
    <x v="1"/>
    <x v="427"/>
    <x v="4"/>
    <x v="4"/>
    <x v="3"/>
    <s v="one"/>
    <s v="Evening"/>
    <s v="Economy"/>
    <n v="6.6"/>
    <n v="0"/>
    <s v="None"/>
    <x v="0"/>
    <x v="13"/>
  </r>
  <r>
    <d v="2024-02-05T00:00:00"/>
    <x v="1"/>
    <x v="428"/>
    <x v="2"/>
    <x v="0"/>
    <x v="0"/>
    <s v="zero"/>
    <s v="Night"/>
    <s v="Business"/>
    <n v="10.61"/>
    <n v="46"/>
    <s v="Technical"/>
    <x v="1"/>
    <x v="14"/>
  </r>
  <r>
    <d v="2024-02-28T00:00:00"/>
    <x v="2"/>
    <x v="429"/>
    <x v="1"/>
    <x v="3"/>
    <x v="1"/>
    <s v="one"/>
    <s v="Morning"/>
    <s v="Business"/>
    <n v="5.35"/>
    <n v="109"/>
    <s v="Air Traffic"/>
    <x v="1"/>
    <x v="4"/>
  </r>
  <r>
    <d v="2024-02-19T00:00:00"/>
    <x v="2"/>
    <x v="430"/>
    <x v="4"/>
    <x v="4"/>
    <x v="3"/>
    <s v="one"/>
    <s v="Night"/>
    <s v="Economy"/>
    <n v="8.41"/>
    <n v="0"/>
    <s v="None"/>
    <x v="0"/>
    <x v="13"/>
  </r>
  <r>
    <d v="2024-02-22T00:00:00"/>
    <x v="3"/>
    <x v="431"/>
    <x v="1"/>
    <x v="5"/>
    <x v="4"/>
    <s v="zero"/>
    <s v="Night"/>
    <s v="Business"/>
    <n v="4.88"/>
    <n v="46"/>
    <s v="Air Traffic"/>
    <x v="1"/>
    <x v="29"/>
  </r>
  <r>
    <d v="2024-02-03T00:00:00"/>
    <x v="0"/>
    <x v="432"/>
    <x v="0"/>
    <x v="1"/>
    <x v="0"/>
    <s v="zero"/>
    <s v="Early_Morning"/>
    <s v="Economy"/>
    <n v="2.54"/>
    <n v="0"/>
    <s v="None"/>
    <x v="0"/>
    <x v="7"/>
  </r>
  <r>
    <d v="2024-02-11T00:00:00"/>
    <x v="3"/>
    <x v="433"/>
    <x v="3"/>
    <x v="0"/>
    <x v="1"/>
    <s v="one"/>
    <s v="Night"/>
    <s v="Economy"/>
    <n v="7.86"/>
    <n v="0"/>
    <s v="None"/>
    <x v="0"/>
    <x v="20"/>
  </r>
  <r>
    <d v="2024-01-01T00:00:00"/>
    <x v="4"/>
    <x v="434"/>
    <x v="3"/>
    <x v="0"/>
    <x v="3"/>
    <s v="zero"/>
    <s v="Evening"/>
    <s v="Business"/>
    <n v="9.84"/>
    <n v="76"/>
    <s v="Technical"/>
    <x v="1"/>
    <x v="20"/>
  </r>
  <r>
    <d v="2024-02-22T00:00:00"/>
    <x v="2"/>
    <x v="435"/>
    <x v="5"/>
    <x v="5"/>
    <x v="3"/>
    <s v="one"/>
    <s v="Early_Morning"/>
    <s v="Economy"/>
    <n v="2.56"/>
    <n v="0"/>
    <s v="None"/>
    <x v="0"/>
    <x v="23"/>
  </r>
  <r>
    <d v="2024-02-04T00:00:00"/>
    <x v="3"/>
    <x v="436"/>
    <x v="1"/>
    <x v="1"/>
    <x v="1"/>
    <s v="zero"/>
    <s v="Morning"/>
    <s v="Business"/>
    <n v="9.5500000000000007"/>
    <n v="0"/>
    <s v="None"/>
    <x v="0"/>
    <x v="1"/>
  </r>
  <r>
    <d v="2024-01-23T00:00:00"/>
    <x v="3"/>
    <x v="437"/>
    <x v="3"/>
    <x v="0"/>
    <x v="3"/>
    <s v="zero"/>
    <s v="Morning"/>
    <s v="Business"/>
    <n v="3.16"/>
    <n v="69"/>
    <s v="Air Traffic"/>
    <x v="1"/>
    <x v="20"/>
  </r>
  <r>
    <d v="2024-01-29T00:00:00"/>
    <x v="1"/>
    <x v="438"/>
    <x v="5"/>
    <x v="5"/>
    <x v="2"/>
    <s v="one"/>
    <s v="Afternoon"/>
    <s v="Business"/>
    <n v="4.03"/>
    <n v="110"/>
    <s v="Air Traffic"/>
    <x v="1"/>
    <x v="23"/>
  </r>
  <r>
    <d v="2024-01-14T00:00:00"/>
    <x v="3"/>
    <x v="439"/>
    <x v="2"/>
    <x v="1"/>
    <x v="2"/>
    <s v="one"/>
    <s v="Evening"/>
    <s v="Business"/>
    <n v="11.82"/>
    <n v="0"/>
    <s v="None"/>
    <x v="0"/>
    <x v="3"/>
  </r>
  <r>
    <d v="2024-01-02T00:00:00"/>
    <x v="2"/>
    <x v="440"/>
    <x v="1"/>
    <x v="0"/>
    <x v="3"/>
    <s v="zero"/>
    <s v="Afternoon"/>
    <s v="Economy"/>
    <n v="9.6"/>
    <n v="114"/>
    <s v="Weather"/>
    <x v="1"/>
    <x v="28"/>
  </r>
  <r>
    <d v="2024-02-22T00:00:00"/>
    <x v="1"/>
    <x v="441"/>
    <x v="2"/>
    <x v="5"/>
    <x v="1"/>
    <s v="zero"/>
    <s v="Night"/>
    <s v="Economy"/>
    <n v="3.14"/>
    <n v="9"/>
    <s v="Technical"/>
    <x v="1"/>
    <x v="26"/>
  </r>
  <r>
    <d v="2024-01-24T00:00:00"/>
    <x v="2"/>
    <x v="442"/>
    <x v="1"/>
    <x v="1"/>
    <x v="2"/>
    <s v="zero"/>
    <s v="Afternoon"/>
    <s v="Business"/>
    <n v="9.2100000000000009"/>
    <n v="0"/>
    <s v="None"/>
    <x v="0"/>
    <x v="1"/>
  </r>
  <r>
    <d v="2024-01-21T00:00:00"/>
    <x v="3"/>
    <x v="443"/>
    <x v="1"/>
    <x v="2"/>
    <x v="1"/>
    <s v="one"/>
    <s v="Early_Morning"/>
    <s v="Economy"/>
    <n v="9.69"/>
    <n v="98"/>
    <s v="Weather"/>
    <x v="1"/>
    <x v="2"/>
  </r>
  <r>
    <d v="2024-01-22T00:00:00"/>
    <x v="1"/>
    <x v="444"/>
    <x v="4"/>
    <x v="2"/>
    <x v="3"/>
    <s v="zero"/>
    <s v="Morning"/>
    <s v="Business"/>
    <n v="1.93"/>
    <n v="11"/>
    <s v="Air Traffic"/>
    <x v="1"/>
    <x v="25"/>
  </r>
  <r>
    <d v="2024-02-06T00:00:00"/>
    <x v="4"/>
    <x v="417"/>
    <x v="5"/>
    <x v="5"/>
    <x v="0"/>
    <s v="zero"/>
    <s v="Morning"/>
    <s v="Business"/>
    <n v="3.83"/>
    <n v="0"/>
    <s v="None"/>
    <x v="0"/>
    <x v="23"/>
  </r>
  <r>
    <d v="2024-02-20T00:00:00"/>
    <x v="3"/>
    <x v="445"/>
    <x v="1"/>
    <x v="1"/>
    <x v="2"/>
    <s v="one"/>
    <s v="Early_Morning"/>
    <s v="Economy"/>
    <n v="2.39"/>
    <n v="75"/>
    <s v="Technical"/>
    <x v="1"/>
    <x v="1"/>
  </r>
  <r>
    <d v="2024-01-28T00:00:00"/>
    <x v="4"/>
    <x v="446"/>
    <x v="1"/>
    <x v="2"/>
    <x v="1"/>
    <s v="one"/>
    <s v="Morning"/>
    <s v="Business"/>
    <n v="7.39"/>
    <n v="0"/>
    <s v="None"/>
    <x v="0"/>
    <x v="2"/>
  </r>
  <r>
    <d v="2024-02-03T00:00:00"/>
    <x v="4"/>
    <x v="447"/>
    <x v="1"/>
    <x v="3"/>
    <x v="2"/>
    <s v="one"/>
    <s v="Evening"/>
    <s v="Economy"/>
    <n v="5.34"/>
    <n v="19"/>
    <s v="Technical"/>
    <x v="1"/>
    <x v="4"/>
  </r>
  <r>
    <d v="2024-01-21T00:00:00"/>
    <x v="1"/>
    <x v="448"/>
    <x v="2"/>
    <x v="3"/>
    <x v="2"/>
    <s v="one"/>
    <s v="Morning"/>
    <s v="Business"/>
    <n v="6.12"/>
    <n v="0"/>
    <s v="None"/>
    <x v="0"/>
    <x v="22"/>
  </r>
  <r>
    <d v="2024-01-15T00:00:00"/>
    <x v="4"/>
    <x v="449"/>
    <x v="3"/>
    <x v="1"/>
    <x v="0"/>
    <s v="zero"/>
    <s v="Early_Morning"/>
    <s v="Economy"/>
    <n v="10.62"/>
    <n v="0"/>
    <s v="None"/>
    <x v="0"/>
    <x v="5"/>
  </r>
  <r>
    <d v="2024-01-19T00:00:00"/>
    <x v="0"/>
    <x v="450"/>
    <x v="5"/>
    <x v="3"/>
    <x v="2"/>
    <s v="one"/>
    <s v="Evening"/>
    <s v="Economy"/>
    <n v="9.27"/>
    <n v="0"/>
    <s v="None"/>
    <x v="0"/>
    <x v="19"/>
  </r>
  <r>
    <d v="2024-01-14T00:00:00"/>
    <x v="2"/>
    <x v="69"/>
    <x v="2"/>
    <x v="1"/>
    <x v="1"/>
    <s v="zero"/>
    <s v="Evening"/>
    <s v="Economy"/>
    <n v="4.18"/>
    <n v="0"/>
    <s v="None"/>
    <x v="0"/>
    <x v="3"/>
  </r>
  <r>
    <d v="2024-01-19T00:00:00"/>
    <x v="4"/>
    <x v="451"/>
    <x v="3"/>
    <x v="2"/>
    <x v="2"/>
    <s v="one"/>
    <s v="Early_Morning"/>
    <s v="Economy"/>
    <n v="4.3499999999999996"/>
    <n v="13"/>
    <s v="Air Traffic"/>
    <x v="1"/>
    <x v="21"/>
  </r>
  <r>
    <d v="2024-02-28T00:00:00"/>
    <x v="1"/>
    <x v="452"/>
    <x v="0"/>
    <x v="4"/>
    <x v="2"/>
    <s v="zero"/>
    <s v="Evening"/>
    <s v="Business"/>
    <n v="10.99"/>
    <n v="0"/>
    <s v="None"/>
    <x v="0"/>
    <x v="16"/>
  </r>
  <r>
    <d v="2024-02-25T00:00:00"/>
    <x v="2"/>
    <x v="453"/>
    <x v="2"/>
    <x v="3"/>
    <x v="0"/>
    <s v="one"/>
    <s v="Morning"/>
    <s v="Economy"/>
    <n v="11.18"/>
    <n v="0"/>
    <s v="None"/>
    <x v="0"/>
    <x v="22"/>
  </r>
  <r>
    <d v="2024-01-22T00:00:00"/>
    <x v="3"/>
    <x v="445"/>
    <x v="4"/>
    <x v="4"/>
    <x v="3"/>
    <s v="one"/>
    <s v="Afternoon"/>
    <s v="Business"/>
    <n v="11.96"/>
    <n v="85"/>
    <s v="Weather"/>
    <x v="1"/>
    <x v="13"/>
  </r>
  <r>
    <d v="2024-01-18T00:00:00"/>
    <x v="0"/>
    <x v="454"/>
    <x v="3"/>
    <x v="1"/>
    <x v="4"/>
    <s v="one"/>
    <s v="Early_Morning"/>
    <s v="Economy"/>
    <n v="8.4"/>
    <n v="24"/>
    <s v="Technical"/>
    <x v="1"/>
    <x v="5"/>
  </r>
  <r>
    <d v="2024-02-16T00:00:00"/>
    <x v="3"/>
    <x v="455"/>
    <x v="2"/>
    <x v="5"/>
    <x v="0"/>
    <s v="zero"/>
    <s v="Evening"/>
    <s v="Economy"/>
    <n v="4.96"/>
    <n v="59"/>
    <s v="Air Traffic"/>
    <x v="1"/>
    <x v="26"/>
  </r>
  <r>
    <d v="2024-01-09T00:00:00"/>
    <x v="4"/>
    <x v="272"/>
    <x v="3"/>
    <x v="4"/>
    <x v="1"/>
    <s v="zero"/>
    <s v="Night"/>
    <s v="Economy"/>
    <n v="6.02"/>
    <n v="0"/>
    <s v="None"/>
    <x v="0"/>
    <x v="6"/>
  </r>
  <r>
    <d v="2024-01-10T00:00:00"/>
    <x v="2"/>
    <x v="456"/>
    <x v="1"/>
    <x v="0"/>
    <x v="3"/>
    <s v="zero"/>
    <s v="Night"/>
    <s v="Economy"/>
    <n v="9.1300000000000008"/>
    <n v="0"/>
    <s v="None"/>
    <x v="0"/>
    <x v="28"/>
  </r>
  <r>
    <d v="2024-01-21T00:00:00"/>
    <x v="3"/>
    <x v="457"/>
    <x v="4"/>
    <x v="1"/>
    <x v="4"/>
    <s v="zero"/>
    <s v="Afternoon"/>
    <s v="Economy"/>
    <n v="3.44"/>
    <n v="0"/>
    <s v="None"/>
    <x v="0"/>
    <x v="18"/>
  </r>
  <r>
    <d v="2024-02-09T00:00:00"/>
    <x v="2"/>
    <x v="458"/>
    <x v="5"/>
    <x v="5"/>
    <x v="1"/>
    <s v="zero"/>
    <s v="Night"/>
    <s v="Economy"/>
    <n v="5.27"/>
    <n v="0"/>
    <s v="None"/>
    <x v="0"/>
    <x v="23"/>
  </r>
  <r>
    <d v="2024-02-19T00:00:00"/>
    <x v="3"/>
    <x v="459"/>
    <x v="1"/>
    <x v="5"/>
    <x v="1"/>
    <s v="one"/>
    <s v="Evening"/>
    <s v="Economy"/>
    <n v="6.48"/>
    <n v="114"/>
    <s v="Technical"/>
    <x v="1"/>
    <x v="29"/>
  </r>
  <r>
    <d v="2024-01-13T00:00:00"/>
    <x v="4"/>
    <x v="460"/>
    <x v="0"/>
    <x v="2"/>
    <x v="3"/>
    <s v="one"/>
    <s v="Afternoon"/>
    <s v="Economy"/>
    <n v="9.4600000000000009"/>
    <n v="0"/>
    <s v="None"/>
    <x v="0"/>
    <x v="12"/>
  </r>
  <r>
    <d v="2024-01-12T00:00:00"/>
    <x v="3"/>
    <x v="461"/>
    <x v="2"/>
    <x v="0"/>
    <x v="2"/>
    <s v="zero"/>
    <s v="Evening"/>
    <s v="Business"/>
    <n v="7.88"/>
    <n v="0"/>
    <s v="None"/>
    <x v="0"/>
    <x v="14"/>
  </r>
  <r>
    <d v="2024-01-25T00:00:00"/>
    <x v="1"/>
    <x v="462"/>
    <x v="4"/>
    <x v="5"/>
    <x v="1"/>
    <s v="zero"/>
    <s v="Night"/>
    <s v="Economy"/>
    <n v="10.72"/>
    <n v="62"/>
    <s v="Weather"/>
    <x v="1"/>
    <x v="8"/>
  </r>
  <r>
    <d v="2024-02-03T00:00:00"/>
    <x v="2"/>
    <x v="463"/>
    <x v="4"/>
    <x v="3"/>
    <x v="1"/>
    <s v="zero"/>
    <s v="Evening"/>
    <s v="Economy"/>
    <n v="10.79"/>
    <n v="42"/>
    <s v="Technical"/>
    <x v="1"/>
    <x v="15"/>
  </r>
  <r>
    <d v="2024-02-22T00:00:00"/>
    <x v="1"/>
    <x v="464"/>
    <x v="4"/>
    <x v="4"/>
    <x v="4"/>
    <s v="zero"/>
    <s v="Afternoon"/>
    <s v="Economy"/>
    <n v="9.09"/>
    <n v="64"/>
    <s v="Weather"/>
    <x v="1"/>
    <x v="13"/>
  </r>
  <r>
    <d v="2024-01-12T00:00:00"/>
    <x v="2"/>
    <x v="465"/>
    <x v="3"/>
    <x v="2"/>
    <x v="0"/>
    <s v="one"/>
    <s v="Evening"/>
    <s v="Business"/>
    <n v="3.38"/>
    <n v="0"/>
    <s v="None"/>
    <x v="0"/>
    <x v="21"/>
  </r>
  <r>
    <d v="2024-02-27T00:00:00"/>
    <x v="4"/>
    <x v="466"/>
    <x v="4"/>
    <x v="3"/>
    <x v="2"/>
    <s v="zero"/>
    <s v="Afternoon"/>
    <s v="Economy"/>
    <n v="8.92"/>
    <n v="0"/>
    <s v="None"/>
    <x v="0"/>
    <x v="15"/>
  </r>
  <r>
    <d v="2024-01-24T00:00:00"/>
    <x v="0"/>
    <x v="467"/>
    <x v="2"/>
    <x v="0"/>
    <x v="1"/>
    <s v="zero"/>
    <s v="Night"/>
    <s v="Business"/>
    <n v="9.57"/>
    <n v="75"/>
    <s v="Weather"/>
    <x v="1"/>
    <x v="14"/>
  </r>
  <r>
    <d v="2024-02-06T00:00:00"/>
    <x v="4"/>
    <x v="468"/>
    <x v="1"/>
    <x v="1"/>
    <x v="0"/>
    <s v="one"/>
    <s v="Early_Morning"/>
    <s v="Business"/>
    <n v="8.08"/>
    <n v="44"/>
    <s v="Technical"/>
    <x v="1"/>
    <x v="1"/>
  </r>
  <r>
    <d v="2024-02-27T00:00:00"/>
    <x v="4"/>
    <x v="469"/>
    <x v="1"/>
    <x v="3"/>
    <x v="1"/>
    <s v="zero"/>
    <s v="Afternoon"/>
    <s v="Business"/>
    <n v="9.98"/>
    <n v="68"/>
    <s v="Air Traffic"/>
    <x v="1"/>
    <x v="4"/>
  </r>
  <r>
    <d v="2024-02-26T00:00:00"/>
    <x v="3"/>
    <x v="470"/>
    <x v="1"/>
    <x v="1"/>
    <x v="1"/>
    <s v="one"/>
    <s v="Evening"/>
    <s v="Business"/>
    <n v="7.81"/>
    <n v="0"/>
    <s v="None"/>
    <x v="0"/>
    <x v="1"/>
  </r>
  <r>
    <d v="2024-01-16T00:00:00"/>
    <x v="2"/>
    <x v="471"/>
    <x v="5"/>
    <x v="5"/>
    <x v="1"/>
    <s v="zero"/>
    <s v="Morning"/>
    <s v="Economy"/>
    <n v="8.36"/>
    <n v="0"/>
    <s v="None"/>
    <x v="0"/>
    <x v="23"/>
  </r>
  <r>
    <d v="2024-01-10T00:00:00"/>
    <x v="0"/>
    <x v="472"/>
    <x v="3"/>
    <x v="2"/>
    <x v="1"/>
    <s v="one"/>
    <s v="Afternoon"/>
    <s v="Economy"/>
    <n v="5.88"/>
    <n v="0"/>
    <s v="None"/>
    <x v="0"/>
    <x v="21"/>
  </r>
  <r>
    <d v="2024-01-11T00:00:00"/>
    <x v="1"/>
    <x v="473"/>
    <x v="2"/>
    <x v="5"/>
    <x v="1"/>
    <s v="zero"/>
    <s v="Night"/>
    <s v="Business"/>
    <n v="2.48"/>
    <n v="100"/>
    <s v="Weather"/>
    <x v="1"/>
    <x v="26"/>
  </r>
  <r>
    <d v="2024-01-21T00:00:00"/>
    <x v="1"/>
    <x v="474"/>
    <x v="4"/>
    <x v="3"/>
    <x v="4"/>
    <s v="zero"/>
    <s v="Night"/>
    <s v="Business"/>
    <n v="2.78"/>
    <n v="0"/>
    <s v="None"/>
    <x v="0"/>
    <x v="15"/>
  </r>
  <r>
    <d v="2024-01-18T00:00:00"/>
    <x v="1"/>
    <x v="475"/>
    <x v="2"/>
    <x v="0"/>
    <x v="1"/>
    <s v="zero"/>
    <s v="Morning"/>
    <s v="Economy"/>
    <n v="6.58"/>
    <n v="0"/>
    <s v="None"/>
    <x v="0"/>
    <x v="14"/>
  </r>
  <r>
    <d v="2024-02-08T00:00:00"/>
    <x v="1"/>
    <x v="476"/>
    <x v="4"/>
    <x v="5"/>
    <x v="2"/>
    <s v="one"/>
    <s v="Afternoon"/>
    <s v="Economy"/>
    <n v="9.16"/>
    <n v="83"/>
    <s v="Air Traffic"/>
    <x v="1"/>
    <x v="8"/>
  </r>
  <r>
    <d v="2024-02-01T00:00:00"/>
    <x v="4"/>
    <x v="477"/>
    <x v="2"/>
    <x v="4"/>
    <x v="2"/>
    <s v="zero"/>
    <s v="Morning"/>
    <s v="Economy"/>
    <n v="9.8699999999999992"/>
    <n v="8"/>
    <s v="Air Traffic"/>
    <x v="1"/>
    <x v="10"/>
  </r>
  <r>
    <d v="2024-02-24T00:00:00"/>
    <x v="4"/>
    <x v="176"/>
    <x v="2"/>
    <x v="0"/>
    <x v="4"/>
    <s v="one"/>
    <s v="Early_Morning"/>
    <s v="Business"/>
    <n v="1.62"/>
    <n v="0"/>
    <s v="None"/>
    <x v="0"/>
    <x v="14"/>
  </r>
  <r>
    <d v="2024-02-14T00:00:00"/>
    <x v="1"/>
    <x v="478"/>
    <x v="5"/>
    <x v="3"/>
    <x v="2"/>
    <s v="one"/>
    <s v="Afternoon"/>
    <s v="Economy"/>
    <n v="5.66"/>
    <n v="19"/>
    <s v="Technical"/>
    <x v="1"/>
    <x v="19"/>
  </r>
  <r>
    <d v="2024-02-09T00:00:00"/>
    <x v="0"/>
    <x v="479"/>
    <x v="1"/>
    <x v="1"/>
    <x v="2"/>
    <s v="one"/>
    <s v="Afternoon"/>
    <s v="Business"/>
    <n v="8.2799999999999994"/>
    <n v="0"/>
    <s v="None"/>
    <x v="0"/>
    <x v="1"/>
  </r>
  <r>
    <d v="2024-01-10T00:00:00"/>
    <x v="3"/>
    <x v="480"/>
    <x v="2"/>
    <x v="1"/>
    <x v="4"/>
    <s v="zero"/>
    <s v="Evening"/>
    <s v="Business"/>
    <n v="7.13"/>
    <n v="77"/>
    <s v="Air Traffic"/>
    <x v="1"/>
    <x v="3"/>
  </r>
  <r>
    <d v="2024-02-06T00:00:00"/>
    <x v="1"/>
    <x v="481"/>
    <x v="5"/>
    <x v="3"/>
    <x v="0"/>
    <s v="zero"/>
    <s v="Afternoon"/>
    <s v="Business"/>
    <n v="7.5"/>
    <n v="0"/>
    <s v="None"/>
    <x v="0"/>
    <x v="19"/>
  </r>
  <r>
    <d v="2024-01-12T00:00:00"/>
    <x v="2"/>
    <x v="482"/>
    <x v="0"/>
    <x v="0"/>
    <x v="2"/>
    <s v="one"/>
    <s v="Early_Morning"/>
    <s v="Business"/>
    <n v="5.4"/>
    <n v="16"/>
    <s v="Weather"/>
    <x v="1"/>
    <x v="0"/>
  </r>
  <r>
    <d v="2024-03-01T00:00:00"/>
    <x v="1"/>
    <x v="483"/>
    <x v="1"/>
    <x v="5"/>
    <x v="2"/>
    <s v="zero"/>
    <s v="Morning"/>
    <s v="Business"/>
    <n v="9.67"/>
    <n v="0"/>
    <s v="None"/>
    <x v="0"/>
    <x v="29"/>
  </r>
  <r>
    <d v="2024-01-29T00:00:00"/>
    <x v="2"/>
    <x v="484"/>
    <x v="0"/>
    <x v="2"/>
    <x v="1"/>
    <s v="zero"/>
    <s v="Morning"/>
    <s v="Business"/>
    <n v="3"/>
    <n v="66"/>
    <s v="Technical"/>
    <x v="1"/>
    <x v="12"/>
  </r>
  <r>
    <d v="2024-01-07T00:00:00"/>
    <x v="2"/>
    <x v="485"/>
    <x v="3"/>
    <x v="4"/>
    <x v="0"/>
    <s v="one"/>
    <s v="Early_Morning"/>
    <s v="Business"/>
    <n v="1.54"/>
    <n v="0"/>
    <s v="None"/>
    <x v="0"/>
    <x v="6"/>
  </r>
  <r>
    <d v="2024-02-13T00:00:00"/>
    <x v="2"/>
    <x v="486"/>
    <x v="0"/>
    <x v="0"/>
    <x v="4"/>
    <s v="zero"/>
    <s v="Early_Morning"/>
    <s v="Business"/>
    <n v="10.87"/>
    <n v="7"/>
    <s v="Air Traffic"/>
    <x v="1"/>
    <x v="0"/>
  </r>
  <r>
    <d v="2024-01-13T00:00:00"/>
    <x v="4"/>
    <x v="487"/>
    <x v="5"/>
    <x v="0"/>
    <x v="1"/>
    <s v="one"/>
    <s v="Afternoon"/>
    <s v="Economy"/>
    <n v="3.15"/>
    <n v="0"/>
    <s v="None"/>
    <x v="0"/>
    <x v="27"/>
  </r>
  <r>
    <d v="2024-01-01T00:00:00"/>
    <x v="2"/>
    <x v="168"/>
    <x v="2"/>
    <x v="5"/>
    <x v="3"/>
    <s v="one"/>
    <s v="Morning"/>
    <s v="Business"/>
    <n v="11.4"/>
    <n v="0"/>
    <s v="None"/>
    <x v="0"/>
    <x v="26"/>
  </r>
  <r>
    <d v="2024-01-19T00:00:00"/>
    <x v="2"/>
    <x v="488"/>
    <x v="1"/>
    <x v="1"/>
    <x v="3"/>
    <s v="one"/>
    <s v="Afternoon"/>
    <s v="Business"/>
    <n v="1.8"/>
    <n v="0"/>
    <s v="None"/>
    <x v="0"/>
    <x v="1"/>
  </r>
  <r>
    <d v="2024-01-04T00:00:00"/>
    <x v="0"/>
    <x v="489"/>
    <x v="4"/>
    <x v="3"/>
    <x v="3"/>
    <s v="one"/>
    <s v="Evening"/>
    <s v="Economy"/>
    <n v="5.23"/>
    <n v="95"/>
    <s v="Air Traffic"/>
    <x v="1"/>
    <x v="15"/>
  </r>
  <r>
    <d v="2024-02-22T00:00:00"/>
    <x v="4"/>
    <x v="490"/>
    <x v="3"/>
    <x v="2"/>
    <x v="3"/>
    <s v="zero"/>
    <s v="Evening"/>
    <s v="Economy"/>
    <n v="6.28"/>
    <n v="109"/>
    <s v="Weather"/>
    <x v="1"/>
    <x v="21"/>
  </r>
  <r>
    <d v="2024-02-11T00:00:00"/>
    <x v="3"/>
    <x v="491"/>
    <x v="4"/>
    <x v="4"/>
    <x v="0"/>
    <s v="one"/>
    <s v="Morning"/>
    <s v="Business"/>
    <n v="8.85"/>
    <n v="0"/>
    <s v="None"/>
    <x v="0"/>
    <x v="13"/>
  </r>
  <r>
    <d v="2024-01-22T00:00:00"/>
    <x v="1"/>
    <x v="492"/>
    <x v="4"/>
    <x v="2"/>
    <x v="3"/>
    <s v="one"/>
    <s v="Early_Morning"/>
    <s v="Economy"/>
    <n v="10.38"/>
    <n v="49"/>
    <s v="Technical"/>
    <x v="1"/>
    <x v="25"/>
  </r>
  <r>
    <d v="2024-02-19T00:00:00"/>
    <x v="1"/>
    <x v="493"/>
    <x v="2"/>
    <x v="5"/>
    <x v="0"/>
    <s v="zero"/>
    <s v="Night"/>
    <s v="Business"/>
    <n v="4.92"/>
    <n v="0"/>
    <s v="None"/>
    <x v="0"/>
    <x v="26"/>
  </r>
  <r>
    <d v="2024-01-05T00:00:00"/>
    <x v="1"/>
    <x v="494"/>
    <x v="2"/>
    <x v="0"/>
    <x v="4"/>
    <s v="one"/>
    <s v="Night"/>
    <s v="Economy"/>
    <n v="7.25"/>
    <n v="0"/>
    <s v="None"/>
    <x v="0"/>
    <x v="14"/>
  </r>
  <r>
    <d v="2024-01-25T00:00:00"/>
    <x v="0"/>
    <x v="495"/>
    <x v="5"/>
    <x v="4"/>
    <x v="1"/>
    <s v="one"/>
    <s v="Evening"/>
    <s v="Business"/>
    <n v="3.32"/>
    <n v="0"/>
    <s v="None"/>
    <x v="0"/>
    <x v="24"/>
  </r>
  <r>
    <d v="2024-01-05T00:00:00"/>
    <x v="2"/>
    <x v="496"/>
    <x v="4"/>
    <x v="3"/>
    <x v="1"/>
    <s v="one"/>
    <s v="Night"/>
    <s v="Business"/>
    <n v="10.130000000000001"/>
    <n v="0"/>
    <s v="None"/>
    <x v="0"/>
    <x v="15"/>
  </r>
  <r>
    <d v="2024-01-20T00:00:00"/>
    <x v="3"/>
    <x v="497"/>
    <x v="0"/>
    <x v="5"/>
    <x v="3"/>
    <s v="one"/>
    <s v="Night"/>
    <s v="Business"/>
    <n v="2.4500000000000002"/>
    <n v="0"/>
    <s v="None"/>
    <x v="0"/>
    <x v="11"/>
  </r>
  <r>
    <d v="2024-01-09T00:00:00"/>
    <x v="2"/>
    <x v="498"/>
    <x v="3"/>
    <x v="3"/>
    <x v="0"/>
    <s v="one"/>
    <s v="Morning"/>
    <s v="Business"/>
    <n v="3.66"/>
    <n v="54"/>
    <s v="Weather"/>
    <x v="1"/>
    <x v="9"/>
  </r>
  <r>
    <d v="2024-01-21T00:00:00"/>
    <x v="1"/>
    <x v="499"/>
    <x v="2"/>
    <x v="1"/>
    <x v="4"/>
    <s v="zero"/>
    <s v="Afternoon"/>
    <s v="Economy"/>
    <n v="10.45"/>
    <n v="83"/>
    <s v="Weather"/>
    <x v="1"/>
    <x v="3"/>
  </r>
  <r>
    <d v="2024-01-24T00:00:00"/>
    <x v="2"/>
    <x v="500"/>
    <x v="0"/>
    <x v="4"/>
    <x v="1"/>
    <s v="zero"/>
    <s v="Afternoon"/>
    <s v="Business"/>
    <n v="3.97"/>
    <n v="0"/>
    <s v="None"/>
    <x v="0"/>
    <x v="16"/>
  </r>
  <r>
    <d v="2024-02-07T00:00:00"/>
    <x v="3"/>
    <x v="501"/>
    <x v="3"/>
    <x v="1"/>
    <x v="4"/>
    <s v="one"/>
    <s v="Evening"/>
    <s v="Business"/>
    <n v="8.4600000000000009"/>
    <n v="0"/>
    <s v="None"/>
    <x v="0"/>
    <x v="5"/>
  </r>
  <r>
    <d v="2024-01-09T00:00:00"/>
    <x v="4"/>
    <x v="502"/>
    <x v="2"/>
    <x v="0"/>
    <x v="2"/>
    <s v="zero"/>
    <s v="Evening"/>
    <s v="Business"/>
    <n v="2.91"/>
    <n v="0"/>
    <s v="None"/>
    <x v="0"/>
    <x v="14"/>
  </r>
  <r>
    <d v="2024-02-11T00:00:00"/>
    <x v="0"/>
    <x v="503"/>
    <x v="1"/>
    <x v="2"/>
    <x v="4"/>
    <s v="zero"/>
    <s v="Morning"/>
    <s v="Economy"/>
    <n v="10.88"/>
    <n v="87"/>
    <s v="Technical"/>
    <x v="1"/>
    <x v="2"/>
  </r>
  <r>
    <d v="2024-02-08T00:00:00"/>
    <x v="3"/>
    <x v="504"/>
    <x v="2"/>
    <x v="4"/>
    <x v="4"/>
    <s v="one"/>
    <s v="Night"/>
    <s v="Business"/>
    <n v="3.45"/>
    <n v="54"/>
    <s v="Weather"/>
    <x v="1"/>
    <x v="10"/>
  </r>
  <r>
    <d v="2024-01-01T00:00:00"/>
    <x v="2"/>
    <x v="308"/>
    <x v="4"/>
    <x v="4"/>
    <x v="1"/>
    <s v="one"/>
    <s v="Afternoon"/>
    <s v="Business"/>
    <n v="7.47"/>
    <n v="0"/>
    <s v="None"/>
    <x v="0"/>
    <x v="13"/>
  </r>
  <r>
    <d v="2024-01-24T00:00:00"/>
    <x v="0"/>
    <x v="505"/>
    <x v="2"/>
    <x v="0"/>
    <x v="3"/>
    <s v="one"/>
    <s v="Morning"/>
    <s v="Business"/>
    <n v="7"/>
    <n v="0"/>
    <s v="None"/>
    <x v="0"/>
    <x v="14"/>
  </r>
  <r>
    <d v="2024-01-06T00:00:00"/>
    <x v="4"/>
    <x v="123"/>
    <x v="4"/>
    <x v="3"/>
    <x v="1"/>
    <s v="one"/>
    <s v="Night"/>
    <s v="Economy"/>
    <n v="9.67"/>
    <n v="120"/>
    <s v="Air Traffic"/>
    <x v="1"/>
    <x v="15"/>
  </r>
  <r>
    <d v="2024-01-30T00:00:00"/>
    <x v="2"/>
    <x v="506"/>
    <x v="4"/>
    <x v="5"/>
    <x v="2"/>
    <s v="one"/>
    <s v="Evening"/>
    <s v="Business"/>
    <n v="1.87"/>
    <n v="0"/>
    <s v="None"/>
    <x v="0"/>
    <x v="8"/>
  </r>
  <r>
    <d v="2024-02-17T00:00:00"/>
    <x v="1"/>
    <x v="507"/>
    <x v="3"/>
    <x v="2"/>
    <x v="2"/>
    <s v="one"/>
    <s v="Early_Morning"/>
    <s v="Economy"/>
    <n v="8.39"/>
    <n v="0"/>
    <s v="None"/>
    <x v="0"/>
    <x v="21"/>
  </r>
  <r>
    <d v="2024-02-21T00:00:00"/>
    <x v="2"/>
    <x v="508"/>
    <x v="0"/>
    <x v="0"/>
    <x v="4"/>
    <s v="zero"/>
    <s v="Early_Morning"/>
    <s v="Economy"/>
    <n v="2.89"/>
    <n v="113"/>
    <s v="Technical"/>
    <x v="1"/>
    <x v="0"/>
  </r>
  <r>
    <d v="2024-01-18T00:00:00"/>
    <x v="1"/>
    <x v="509"/>
    <x v="0"/>
    <x v="4"/>
    <x v="1"/>
    <s v="zero"/>
    <s v="Morning"/>
    <s v="Business"/>
    <n v="4.24"/>
    <n v="0"/>
    <s v="None"/>
    <x v="0"/>
    <x v="16"/>
  </r>
  <r>
    <d v="2024-01-16T00:00:00"/>
    <x v="3"/>
    <x v="510"/>
    <x v="1"/>
    <x v="5"/>
    <x v="3"/>
    <s v="zero"/>
    <s v="Afternoon"/>
    <s v="Economy"/>
    <n v="10.29"/>
    <n v="0"/>
    <s v="None"/>
    <x v="0"/>
    <x v="29"/>
  </r>
  <r>
    <d v="2024-01-27T00:00:00"/>
    <x v="3"/>
    <x v="511"/>
    <x v="1"/>
    <x v="2"/>
    <x v="0"/>
    <s v="one"/>
    <s v="Morning"/>
    <s v="Economy"/>
    <n v="2.0499999999999998"/>
    <n v="87"/>
    <s v="Weather"/>
    <x v="1"/>
    <x v="2"/>
  </r>
  <r>
    <d v="2024-01-26T00:00:00"/>
    <x v="3"/>
    <x v="512"/>
    <x v="5"/>
    <x v="2"/>
    <x v="1"/>
    <s v="one"/>
    <s v="Morning"/>
    <s v="Business"/>
    <n v="7.07"/>
    <n v="65"/>
    <s v="Weather"/>
    <x v="1"/>
    <x v="17"/>
  </r>
  <r>
    <d v="2024-01-01T00:00:00"/>
    <x v="1"/>
    <x v="513"/>
    <x v="4"/>
    <x v="2"/>
    <x v="2"/>
    <s v="zero"/>
    <s v="Night"/>
    <s v="Economy"/>
    <n v="7.91"/>
    <n v="73"/>
    <s v="Technical"/>
    <x v="1"/>
    <x v="25"/>
  </r>
  <r>
    <d v="2024-02-24T00:00:00"/>
    <x v="1"/>
    <x v="514"/>
    <x v="5"/>
    <x v="0"/>
    <x v="2"/>
    <s v="one"/>
    <s v="Early_Morning"/>
    <s v="Business"/>
    <n v="9.2100000000000009"/>
    <n v="0"/>
    <s v="None"/>
    <x v="0"/>
    <x v="27"/>
  </r>
  <r>
    <d v="2024-02-19T00:00:00"/>
    <x v="4"/>
    <x v="515"/>
    <x v="2"/>
    <x v="1"/>
    <x v="0"/>
    <s v="zero"/>
    <s v="Afternoon"/>
    <s v="Economy"/>
    <n v="1.63"/>
    <n v="0"/>
    <s v="None"/>
    <x v="0"/>
    <x v="3"/>
  </r>
  <r>
    <d v="2024-02-03T00:00:00"/>
    <x v="0"/>
    <x v="516"/>
    <x v="3"/>
    <x v="0"/>
    <x v="2"/>
    <s v="one"/>
    <s v="Morning"/>
    <s v="Business"/>
    <n v="1.75"/>
    <n v="0"/>
    <s v="None"/>
    <x v="0"/>
    <x v="20"/>
  </r>
  <r>
    <d v="2024-01-04T00:00:00"/>
    <x v="2"/>
    <x v="517"/>
    <x v="3"/>
    <x v="4"/>
    <x v="1"/>
    <s v="zero"/>
    <s v="Early_Morning"/>
    <s v="Economy"/>
    <n v="5.45"/>
    <n v="0"/>
    <s v="None"/>
    <x v="0"/>
    <x v="6"/>
  </r>
  <r>
    <d v="2024-02-27T00:00:00"/>
    <x v="2"/>
    <x v="518"/>
    <x v="1"/>
    <x v="3"/>
    <x v="0"/>
    <s v="one"/>
    <s v="Afternoon"/>
    <s v="Business"/>
    <n v="8.2100000000000009"/>
    <n v="0"/>
    <s v="None"/>
    <x v="0"/>
    <x v="4"/>
  </r>
  <r>
    <d v="2024-02-19T00:00:00"/>
    <x v="3"/>
    <x v="519"/>
    <x v="3"/>
    <x v="1"/>
    <x v="2"/>
    <s v="zero"/>
    <s v="Morning"/>
    <s v="Business"/>
    <n v="5.52"/>
    <n v="0"/>
    <s v="None"/>
    <x v="0"/>
    <x v="5"/>
  </r>
  <r>
    <d v="2024-01-04T00:00:00"/>
    <x v="1"/>
    <x v="520"/>
    <x v="5"/>
    <x v="4"/>
    <x v="4"/>
    <s v="one"/>
    <s v="Early_Morning"/>
    <s v="Economy"/>
    <n v="8.2799999999999994"/>
    <n v="83"/>
    <s v="Weather"/>
    <x v="1"/>
    <x v="24"/>
  </r>
  <r>
    <d v="2024-01-10T00:00:00"/>
    <x v="2"/>
    <x v="521"/>
    <x v="4"/>
    <x v="4"/>
    <x v="1"/>
    <s v="one"/>
    <s v="Early_Morning"/>
    <s v="Business"/>
    <n v="2.27"/>
    <n v="0"/>
    <s v="None"/>
    <x v="0"/>
    <x v="13"/>
  </r>
  <r>
    <d v="2024-02-16T00:00:00"/>
    <x v="1"/>
    <x v="522"/>
    <x v="4"/>
    <x v="3"/>
    <x v="4"/>
    <s v="zero"/>
    <s v="Morning"/>
    <s v="Economy"/>
    <n v="3.09"/>
    <n v="90"/>
    <s v="Technical"/>
    <x v="1"/>
    <x v="15"/>
  </r>
  <r>
    <d v="2024-02-27T00:00:00"/>
    <x v="3"/>
    <x v="523"/>
    <x v="2"/>
    <x v="3"/>
    <x v="1"/>
    <s v="one"/>
    <s v="Evening"/>
    <s v="Business"/>
    <n v="7.17"/>
    <n v="0"/>
    <s v="None"/>
    <x v="0"/>
    <x v="22"/>
  </r>
  <r>
    <d v="2024-01-25T00:00:00"/>
    <x v="3"/>
    <x v="524"/>
    <x v="0"/>
    <x v="5"/>
    <x v="1"/>
    <s v="one"/>
    <s v="Afternoon"/>
    <s v="Business"/>
    <n v="8.14"/>
    <n v="0"/>
    <s v="None"/>
    <x v="0"/>
    <x v="11"/>
  </r>
  <r>
    <d v="2024-01-06T00:00:00"/>
    <x v="1"/>
    <x v="525"/>
    <x v="2"/>
    <x v="1"/>
    <x v="3"/>
    <s v="one"/>
    <s v="Evening"/>
    <s v="Economy"/>
    <n v="11.66"/>
    <n v="0"/>
    <s v="None"/>
    <x v="0"/>
    <x v="3"/>
  </r>
  <r>
    <d v="2024-01-13T00:00:00"/>
    <x v="1"/>
    <x v="526"/>
    <x v="3"/>
    <x v="0"/>
    <x v="3"/>
    <s v="one"/>
    <s v="Afternoon"/>
    <s v="Economy"/>
    <n v="3.49"/>
    <n v="118"/>
    <s v="Air Traffic"/>
    <x v="1"/>
    <x v="20"/>
  </r>
  <r>
    <d v="2024-01-13T00:00:00"/>
    <x v="0"/>
    <x v="527"/>
    <x v="3"/>
    <x v="2"/>
    <x v="0"/>
    <s v="one"/>
    <s v="Evening"/>
    <s v="Economy"/>
    <n v="7.11"/>
    <n v="106"/>
    <s v="Technical"/>
    <x v="1"/>
    <x v="21"/>
  </r>
  <r>
    <d v="2024-02-21T00:00:00"/>
    <x v="3"/>
    <x v="164"/>
    <x v="0"/>
    <x v="4"/>
    <x v="2"/>
    <s v="one"/>
    <s v="Early_Morning"/>
    <s v="Economy"/>
    <n v="3.72"/>
    <n v="0"/>
    <s v="None"/>
    <x v="0"/>
    <x v="16"/>
  </r>
  <r>
    <d v="2024-02-12T00:00:00"/>
    <x v="2"/>
    <x v="528"/>
    <x v="4"/>
    <x v="5"/>
    <x v="0"/>
    <s v="zero"/>
    <s v="Night"/>
    <s v="Economy"/>
    <n v="6.63"/>
    <n v="0"/>
    <s v="None"/>
    <x v="0"/>
    <x v="8"/>
  </r>
  <r>
    <d v="2024-01-31T00:00:00"/>
    <x v="2"/>
    <x v="529"/>
    <x v="0"/>
    <x v="1"/>
    <x v="0"/>
    <s v="zero"/>
    <s v="Early_Morning"/>
    <s v="Economy"/>
    <n v="6.29"/>
    <n v="120"/>
    <s v="Weather"/>
    <x v="1"/>
    <x v="7"/>
  </r>
  <r>
    <d v="2024-02-23T00:00:00"/>
    <x v="2"/>
    <x v="33"/>
    <x v="0"/>
    <x v="4"/>
    <x v="3"/>
    <s v="zero"/>
    <s v="Evening"/>
    <s v="Economy"/>
    <n v="5.98"/>
    <n v="0"/>
    <s v="None"/>
    <x v="0"/>
    <x v="16"/>
  </r>
  <r>
    <d v="2024-02-23T00:00:00"/>
    <x v="3"/>
    <x v="530"/>
    <x v="5"/>
    <x v="3"/>
    <x v="1"/>
    <s v="zero"/>
    <s v="Night"/>
    <s v="Business"/>
    <n v="9.52"/>
    <n v="0"/>
    <s v="None"/>
    <x v="0"/>
    <x v="19"/>
  </r>
  <r>
    <d v="2024-01-12T00:00:00"/>
    <x v="1"/>
    <x v="531"/>
    <x v="0"/>
    <x v="4"/>
    <x v="2"/>
    <s v="one"/>
    <s v="Morning"/>
    <s v="Economy"/>
    <n v="3.23"/>
    <n v="94"/>
    <s v="Air Traffic"/>
    <x v="1"/>
    <x v="16"/>
  </r>
  <r>
    <d v="2024-02-29T00:00:00"/>
    <x v="2"/>
    <x v="532"/>
    <x v="0"/>
    <x v="1"/>
    <x v="3"/>
    <s v="one"/>
    <s v="Night"/>
    <s v="Economy"/>
    <n v="1.57"/>
    <n v="7"/>
    <s v="Weather"/>
    <x v="1"/>
    <x v="7"/>
  </r>
  <r>
    <d v="2024-02-29T00:00:00"/>
    <x v="0"/>
    <x v="533"/>
    <x v="3"/>
    <x v="2"/>
    <x v="2"/>
    <s v="one"/>
    <s v="Evening"/>
    <s v="Economy"/>
    <n v="8.2200000000000006"/>
    <n v="0"/>
    <s v="None"/>
    <x v="0"/>
    <x v="21"/>
  </r>
  <r>
    <d v="2024-01-29T00:00:00"/>
    <x v="3"/>
    <x v="534"/>
    <x v="1"/>
    <x v="1"/>
    <x v="1"/>
    <s v="zero"/>
    <s v="Early_Morning"/>
    <s v="Business"/>
    <n v="8.09"/>
    <n v="0"/>
    <s v="None"/>
    <x v="0"/>
    <x v="1"/>
  </r>
  <r>
    <d v="2024-01-20T00:00:00"/>
    <x v="1"/>
    <x v="535"/>
    <x v="4"/>
    <x v="3"/>
    <x v="1"/>
    <s v="zero"/>
    <s v="Morning"/>
    <s v="Economy"/>
    <n v="8"/>
    <n v="0"/>
    <s v="None"/>
    <x v="0"/>
    <x v="15"/>
  </r>
  <r>
    <d v="2024-02-18T00:00:00"/>
    <x v="2"/>
    <x v="536"/>
    <x v="2"/>
    <x v="4"/>
    <x v="4"/>
    <s v="one"/>
    <s v="Morning"/>
    <s v="Economy"/>
    <n v="9.86"/>
    <n v="0"/>
    <s v="None"/>
    <x v="0"/>
    <x v="10"/>
  </r>
  <r>
    <d v="2024-02-24T00:00:00"/>
    <x v="3"/>
    <x v="537"/>
    <x v="4"/>
    <x v="4"/>
    <x v="0"/>
    <s v="zero"/>
    <s v="Early_Morning"/>
    <s v="Business"/>
    <n v="6.06"/>
    <n v="0"/>
    <s v="None"/>
    <x v="0"/>
    <x v="13"/>
  </r>
  <r>
    <d v="2024-02-09T00:00:00"/>
    <x v="3"/>
    <x v="538"/>
    <x v="0"/>
    <x v="4"/>
    <x v="3"/>
    <s v="zero"/>
    <s v="Night"/>
    <s v="Economy"/>
    <n v="6.59"/>
    <n v="0"/>
    <s v="None"/>
    <x v="0"/>
    <x v="16"/>
  </r>
  <r>
    <d v="2024-01-05T00:00:00"/>
    <x v="4"/>
    <x v="539"/>
    <x v="3"/>
    <x v="0"/>
    <x v="1"/>
    <s v="one"/>
    <s v="Night"/>
    <s v="Business"/>
    <n v="9.68"/>
    <n v="30"/>
    <s v="Weather"/>
    <x v="1"/>
    <x v="20"/>
  </r>
  <r>
    <d v="2024-01-15T00:00:00"/>
    <x v="0"/>
    <x v="540"/>
    <x v="1"/>
    <x v="2"/>
    <x v="0"/>
    <s v="zero"/>
    <s v="Evening"/>
    <s v="Economy"/>
    <n v="10.85"/>
    <n v="65"/>
    <s v="Weather"/>
    <x v="1"/>
    <x v="2"/>
  </r>
  <r>
    <d v="2024-01-14T00:00:00"/>
    <x v="2"/>
    <x v="217"/>
    <x v="4"/>
    <x v="4"/>
    <x v="4"/>
    <s v="zero"/>
    <s v="Afternoon"/>
    <s v="Business"/>
    <n v="8.14"/>
    <n v="0"/>
    <s v="None"/>
    <x v="0"/>
    <x v="13"/>
  </r>
  <r>
    <d v="2024-01-13T00:00:00"/>
    <x v="1"/>
    <x v="541"/>
    <x v="1"/>
    <x v="3"/>
    <x v="1"/>
    <s v="one"/>
    <s v="Early_Morning"/>
    <s v="Economy"/>
    <n v="5.89"/>
    <n v="19"/>
    <s v="Technical"/>
    <x v="1"/>
    <x v="4"/>
  </r>
  <r>
    <d v="2024-01-22T00:00:00"/>
    <x v="4"/>
    <x v="542"/>
    <x v="5"/>
    <x v="5"/>
    <x v="0"/>
    <s v="zero"/>
    <s v="Night"/>
    <s v="Economy"/>
    <n v="6.64"/>
    <n v="16"/>
    <s v="Air Traffic"/>
    <x v="1"/>
    <x v="23"/>
  </r>
  <r>
    <d v="2024-02-07T00:00:00"/>
    <x v="3"/>
    <x v="543"/>
    <x v="4"/>
    <x v="1"/>
    <x v="3"/>
    <s v="zero"/>
    <s v="Evening"/>
    <s v="Economy"/>
    <n v="3.84"/>
    <n v="46"/>
    <s v="Air Traffic"/>
    <x v="1"/>
    <x v="18"/>
  </r>
  <r>
    <d v="2024-03-01T00:00:00"/>
    <x v="4"/>
    <x v="544"/>
    <x v="2"/>
    <x v="3"/>
    <x v="4"/>
    <s v="zero"/>
    <s v="Early_Morning"/>
    <s v="Business"/>
    <n v="5.97"/>
    <n v="0"/>
    <s v="None"/>
    <x v="0"/>
    <x v="22"/>
  </r>
  <r>
    <d v="2024-01-31T00:00:00"/>
    <x v="0"/>
    <x v="545"/>
    <x v="4"/>
    <x v="2"/>
    <x v="0"/>
    <s v="zero"/>
    <s v="Early_Morning"/>
    <s v="Business"/>
    <n v="5.26"/>
    <n v="0"/>
    <s v="None"/>
    <x v="0"/>
    <x v="25"/>
  </r>
  <r>
    <d v="2024-02-11T00:00:00"/>
    <x v="0"/>
    <x v="546"/>
    <x v="0"/>
    <x v="2"/>
    <x v="2"/>
    <s v="one"/>
    <s v="Morning"/>
    <s v="Economy"/>
    <n v="10.68"/>
    <n v="63"/>
    <s v="Weather"/>
    <x v="1"/>
    <x v="12"/>
  </r>
  <r>
    <d v="2024-01-12T00:00:00"/>
    <x v="1"/>
    <x v="547"/>
    <x v="3"/>
    <x v="0"/>
    <x v="3"/>
    <s v="one"/>
    <s v="Early_Morning"/>
    <s v="Business"/>
    <n v="4.6100000000000003"/>
    <n v="0"/>
    <s v="None"/>
    <x v="0"/>
    <x v="20"/>
  </r>
  <r>
    <d v="2024-01-18T00:00:00"/>
    <x v="2"/>
    <x v="167"/>
    <x v="2"/>
    <x v="5"/>
    <x v="0"/>
    <s v="one"/>
    <s v="Early_Morning"/>
    <s v="Economy"/>
    <n v="2.67"/>
    <n v="70"/>
    <s v="Weather"/>
    <x v="1"/>
    <x v="26"/>
  </r>
  <r>
    <d v="2024-01-30T00:00:00"/>
    <x v="2"/>
    <x v="286"/>
    <x v="0"/>
    <x v="0"/>
    <x v="2"/>
    <s v="zero"/>
    <s v="Morning"/>
    <s v="Economy"/>
    <n v="7.17"/>
    <n v="22"/>
    <s v="Weather"/>
    <x v="1"/>
    <x v="0"/>
  </r>
  <r>
    <d v="2024-01-31T00:00:00"/>
    <x v="2"/>
    <x v="548"/>
    <x v="3"/>
    <x v="4"/>
    <x v="0"/>
    <s v="one"/>
    <s v="Afternoon"/>
    <s v="Business"/>
    <n v="2.0699999999999998"/>
    <n v="69"/>
    <s v="Technical"/>
    <x v="1"/>
    <x v="6"/>
  </r>
  <r>
    <d v="2024-01-23T00:00:00"/>
    <x v="3"/>
    <x v="549"/>
    <x v="4"/>
    <x v="5"/>
    <x v="1"/>
    <s v="one"/>
    <s v="Early_Morning"/>
    <s v="Business"/>
    <n v="11.43"/>
    <n v="62"/>
    <s v="Air Traffic"/>
    <x v="1"/>
    <x v="8"/>
  </r>
  <r>
    <d v="2024-03-01T00:00:00"/>
    <x v="0"/>
    <x v="550"/>
    <x v="1"/>
    <x v="2"/>
    <x v="3"/>
    <s v="one"/>
    <s v="Early_Morning"/>
    <s v="Economy"/>
    <n v="2.65"/>
    <n v="0"/>
    <s v="None"/>
    <x v="0"/>
    <x v="2"/>
  </r>
  <r>
    <d v="2024-01-08T00:00:00"/>
    <x v="4"/>
    <x v="551"/>
    <x v="4"/>
    <x v="4"/>
    <x v="0"/>
    <s v="zero"/>
    <s v="Night"/>
    <s v="Business"/>
    <n v="6.48"/>
    <n v="0"/>
    <s v="None"/>
    <x v="0"/>
    <x v="13"/>
  </r>
  <r>
    <d v="2024-01-29T00:00:00"/>
    <x v="0"/>
    <x v="552"/>
    <x v="5"/>
    <x v="4"/>
    <x v="3"/>
    <s v="zero"/>
    <s v="Early_Morning"/>
    <s v="Business"/>
    <n v="8.2799999999999994"/>
    <n v="57"/>
    <s v="Air Traffic"/>
    <x v="1"/>
    <x v="24"/>
  </r>
  <r>
    <d v="2024-02-01T00:00:00"/>
    <x v="2"/>
    <x v="553"/>
    <x v="3"/>
    <x v="2"/>
    <x v="1"/>
    <s v="one"/>
    <s v="Evening"/>
    <s v="Business"/>
    <n v="10.93"/>
    <n v="0"/>
    <s v="None"/>
    <x v="0"/>
    <x v="21"/>
  </r>
  <r>
    <d v="2024-01-11T00:00:00"/>
    <x v="1"/>
    <x v="554"/>
    <x v="1"/>
    <x v="2"/>
    <x v="2"/>
    <s v="zero"/>
    <s v="Afternoon"/>
    <s v="Economy"/>
    <n v="11.54"/>
    <n v="50"/>
    <s v="Technical"/>
    <x v="1"/>
    <x v="2"/>
  </r>
  <r>
    <d v="2024-02-29T00:00:00"/>
    <x v="4"/>
    <x v="555"/>
    <x v="3"/>
    <x v="2"/>
    <x v="2"/>
    <s v="zero"/>
    <s v="Morning"/>
    <s v="Economy"/>
    <n v="2.73"/>
    <n v="0"/>
    <s v="None"/>
    <x v="0"/>
    <x v="21"/>
  </r>
  <r>
    <d v="2024-02-06T00:00:00"/>
    <x v="4"/>
    <x v="556"/>
    <x v="4"/>
    <x v="1"/>
    <x v="2"/>
    <s v="zero"/>
    <s v="Morning"/>
    <s v="Economy"/>
    <n v="3.05"/>
    <n v="90"/>
    <s v="Technical"/>
    <x v="1"/>
    <x v="18"/>
  </r>
  <r>
    <d v="2024-02-04T00:00:00"/>
    <x v="4"/>
    <x v="557"/>
    <x v="2"/>
    <x v="1"/>
    <x v="3"/>
    <s v="one"/>
    <s v="Early_Morning"/>
    <s v="Business"/>
    <n v="11.45"/>
    <n v="0"/>
    <s v="None"/>
    <x v="0"/>
    <x v="3"/>
  </r>
  <r>
    <d v="2024-01-10T00:00:00"/>
    <x v="0"/>
    <x v="558"/>
    <x v="3"/>
    <x v="2"/>
    <x v="1"/>
    <s v="one"/>
    <s v="Afternoon"/>
    <s v="Business"/>
    <n v="8.5"/>
    <n v="119"/>
    <s v="Air Traffic"/>
    <x v="1"/>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24EBAA-1D41-48F8-946F-5CBDFBBEE4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I7" firstHeaderRow="1" firstDataRow="1" firstDataCol="1"/>
  <pivotFields count="14">
    <pivotField numFmtId="14" showAll="0"/>
    <pivotField axis="axisRow" showAll="0">
      <items count="6">
        <item x="4"/>
        <item x="2"/>
        <item x="0"/>
        <item x="1"/>
        <item x="3"/>
        <item t="default"/>
      </items>
    </pivotField>
    <pivotField showAll="0"/>
    <pivotField showAll="0">
      <items count="7">
        <item x="5"/>
        <item x="4"/>
        <item x="0"/>
        <item x="2"/>
        <item x="3"/>
        <item x="1"/>
        <item t="default"/>
      </items>
    </pivotField>
    <pivotField showAll="0">
      <items count="7">
        <item x="1"/>
        <item x="0"/>
        <item x="3"/>
        <item x="2"/>
        <item x="5"/>
        <item x="4"/>
        <item t="default"/>
      </items>
    </pivotField>
    <pivotField showAll="0"/>
    <pivotField showAll="0"/>
    <pivotField showAll="0"/>
    <pivotField showAll="0"/>
    <pivotField showAll="0"/>
    <pivotField dataField="1"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Average of Delay_Minutes" fld="10" subtotal="average"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45F693-32A2-4081-B10D-2572F3D71A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F32" firstHeaderRow="1" firstDataRow="1" firstDataCol="1"/>
  <pivotFields count="14">
    <pivotField numFmtId="14" showAll="0"/>
    <pivotField showAll="0">
      <items count="6">
        <item x="4"/>
        <item x="2"/>
        <item x="0"/>
        <item x="1"/>
        <item x="3"/>
        <item t="default"/>
      </items>
    </pivotField>
    <pivotField dataField="1" showAll="0"/>
    <pivotField showAll="0">
      <items count="7">
        <item x="5"/>
        <item x="4"/>
        <item x="0"/>
        <item x="2"/>
        <item x="3"/>
        <item x="1"/>
        <item t="default"/>
      </items>
    </pivotField>
    <pivotField showAll="0">
      <items count="7">
        <item x="1"/>
        <item x="0"/>
        <item x="3"/>
        <item x="2"/>
        <item x="5"/>
        <item x="4"/>
        <item t="default"/>
      </items>
    </pivotField>
    <pivotField showAll="0"/>
    <pivotField showAll="0"/>
    <pivotField showAll="0"/>
    <pivotField showAll="0"/>
    <pivotField showAll="0"/>
    <pivotField showAll="0"/>
    <pivotField showAll="0"/>
    <pivotField showAll="0">
      <items count="3">
        <item x="1"/>
        <item h="1" x="0"/>
        <item t="default"/>
      </items>
    </pivotField>
    <pivotField axis="axisRow" showAll="0" sortType="descending">
      <items count="31">
        <item x="29"/>
        <item x="2"/>
        <item x="4"/>
        <item x="28"/>
        <item x="1"/>
        <item x="6"/>
        <item x="21"/>
        <item x="9"/>
        <item x="20"/>
        <item x="5"/>
        <item x="10"/>
        <item x="26"/>
        <item x="22"/>
        <item x="14"/>
        <item x="3"/>
        <item x="16"/>
        <item x="11"/>
        <item x="12"/>
        <item x="0"/>
        <item x="7"/>
        <item x="13"/>
        <item x="8"/>
        <item x="25"/>
        <item x="15"/>
        <item x="18"/>
        <item x="24"/>
        <item x="23"/>
        <item x="17"/>
        <item x="19"/>
        <item x="27"/>
        <item t="default"/>
      </items>
      <autoSortScope>
        <pivotArea dataOnly="0" outline="0" fieldPosition="0">
          <references count="1">
            <reference field="4294967294" count="1" selected="0">
              <x v="0"/>
            </reference>
          </references>
        </pivotArea>
      </autoSortScope>
    </pivotField>
  </pivotFields>
  <rowFields count="1">
    <field x="13"/>
  </rowFields>
  <rowItems count="31">
    <i>
      <x v="1"/>
    </i>
    <i>
      <x v="11"/>
    </i>
    <i>
      <x v="24"/>
    </i>
    <i>
      <x v="8"/>
    </i>
    <i>
      <x v="26"/>
    </i>
    <i>
      <x v="27"/>
    </i>
    <i>
      <x v="18"/>
    </i>
    <i>
      <x v="14"/>
    </i>
    <i>
      <x v="28"/>
    </i>
    <i>
      <x v="10"/>
    </i>
    <i>
      <x v="20"/>
    </i>
    <i>
      <x v="23"/>
    </i>
    <i>
      <x v="16"/>
    </i>
    <i>
      <x v="13"/>
    </i>
    <i>
      <x v="9"/>
    </i>
    <i>
      <x v="6"/>
    </i>
    <i>
      <x v="2"/>
    </i>
    <i>
      <x v="29"/>
    </i>
    <i>
      <x/>
    </i>
    <i>
      <x v="19"/>
    </i>
    <i>
      <x v="22"/>
    </i>
    <i>
      <x v="3"/>
    </i>
    <i>
      <x v="5"/>
    </i>
    <i>
      <x v="21"/>
    </i>
    <i>
      <x v="7"/>
    </i>
    <i>
      <x v="4"/>
    </i>
    <i>
      <x v="17"/>
    </i>
    <i>
      <x v="25"/>
    </i>
    <i>
      <x v="12"/>
    </i>
    <i>
      <x v="15"/>
    </i>
    <i t="grand">
      <x/>
    </i>
  </rowItems>
  <colItems count="1">
    <i/>
  </colItems>
  <dataFields count="1">
    <dataField name="Count of Flight_Number" fld="2" subtotal="count" baseField="0"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C4C85B-900D-4ABF-AF0C-3AD08374A2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D4" firstHeaderRow="1" firstDataRow="1" firstDataCol="1"/>
  <pivotFields count="14">
    <pivotField numFmtId="14" showAll="0"/>
    <pivotField showAll="0">
      <items count="6">
        <item x="4"/>
        <item x="2"/>
        <item x="0"/>
        <item x="1"/>
        <item x="3"/>
        <item t="default"/>
      </items>
    </pivotField>
    <pivotField dataField="1" showAll="0"/>
    <pivotField showAll="0">
      <items count="7">
        <item x="5"/>
        <item x="4"/>
        <item x="0"/>
        <item x="2"/>
        <item x="3"/>
        <item x="1"/>
        <item t="default"/>
      </items>
    </pivotField>
    <pivotField showAll="0">
      <items count="7">
        <item x="1"/>
        <item x="0"/>
        <item x="3"/>
        <item x="2"/>
        <item x="5"/>
        <item x="4"/>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12"/>
  </rowFields>
  <rowItems count="3">
    <i>
      <x/>
    </i>
    <i>
      <x v="1"/>
    </i>
    <i t="grand">
      <x/>
    </i>
  </rowItems>
  <colItems count="1">
    <i/>
  </colItems>
  <dataFields count="1">
    <dataField name="Count of Flight_Number" fld="2"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A97267-178E-4725-A257-2320B838A4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7" firstHeaderRow="1" firstDataRow="1" firstDataCol="1"/>
  <pivotFields count="14">
    <pivotField numFmtId="14" showAll="0"/>
    <pivotField axis="axisRow" showAll="0">
      <items count="6">
        <item x="4"/>
        <item x="2"/>
        <item x="0"/>
        <item x="1"/>
        <item x="3"/>
        <item t="default"/>
      </items>
    </pivotField>
    <pivotField dataField="1" showAll="0"/>
    <pivotField showAll="0">
      <items count="7">
        <item x="5"/>
        <item x="4"/>
        <item x="0"/>
        <item x="2"/>
        <item x="3"/>
        <item x="1"/>
        <item t="default"/>
      </items>
    </pivotField>
    <pivotField showAll="0">
      <items count="7">
        <item x="1"/>
        <item x="0"/>
        <item x="3"/>
        <item x="2"/>
        <item x="5"/>
        <item x="4"/>
        <item t="default"/>
      </items>
    </pivotField>
    <pivotField showAll="0"/>
    <pivotField showAll="0"/>
    <pivotField showAll="0"/>
    <pivotField showAll="0"/>
    <pivotField showAll="0"/>
    <pivotField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Count of Flight_Number" fld="2"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2244AE-E154-4386-9A15-64A68036AB7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0:I16" firstHeaderRow="1" firstDataRow="1" firstDataCol="1"/>
  <pivotFields count="14">
    <pivotField numFmtId="14" showAll="0"/>
    <pivotField showAll="0"/>
    <pivotField dataField="1" showAll="0"/>
    <pivotField showAll="0"/>
    <pivotField showAll="0"/>
    <pivotField axis="axisRow" showAll="0">
      <items count="6">
        <item x="2"/>
        <item x="3"/>
        <item x="4"/>
        <item x="0"/>
        <item x="1"/>
        <item t="default"/>
      </items>
    </pivotField>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light_Number"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CF036AD5-F659-4771-8ADB-FA9A59CCD80F}" sourceName="Airline">
  <pivotTables>
    <pivotTable tabId="3" name="PivotTable3"/>
    <pivotTable tabId="3" name="PivotTable5"/>
    <pivotTable tabId="3" name="PivotTable6"/>
    <pivotTable tabId="3" name="PivotTable7"/>
  </pivotTables>
  <data>
    <tabular pivotCacheId="594737125">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City" xr10:uid="{5500360B-1ED4-4FB7-9583-FB95905EBFD4}" sourceName="Source_City">
  <pivotTables>
    <pivotTable tabId="3" name="PivotTable3"/>
    <pivotTable tabId="3" name="PivotTable5"/>
    <pivotTable tabId="3" name="PivotTable6"/>
    <pivotTable tabId="3" name="PivotTable7"/>
  </pivotTables>
  <data>
    <tabular pivotCacheId="594737125">
      <items count="6">
        <i x="5" s="1"/>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ity" xr10:uid="{BD439A8F-49AA-4C67-A089-9D79C6DE4F97}" sourceName="Destination_City">
  <pivotTables>
    <pivotTable tabId="3" name="PivotTable3"/>
    <pivotTable tabId="3" name="PivotTable5"/>
    <pivotTable tabId="3" name="PivotTable6"/>
    <pivotTable tabId="3" name="PivotTable7"/>
  </pivotTables>
  <data>
    <tabular pivotCacheId="594737125">
      <items count="6">
        <i x="1" s="1"/>
        <i x="0" s="1"/>
        <i x="3" s="1"/>
        <i x="2"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ay_Status" xr10:uid="{9A099B72-8E78-4A3F-B8EA-1B797228A55F}" sourceName="Delay_Status">
  <pivotTables>
    <pivotTable tabId="3" name="PivotTable3"/>
    <pivotTable tabId="3" name="PivotTable6"/>
    <pivotTable tabId="3" name="PivotTable7"/>
  </pivotTables>
  <data>
    <tabular pivotCacheId="59473712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D82CE3C3-FE5D-40C7-A2E3-6230B8BDE7D7}" cache="Slicer_Airline" caption="Airline" rowHeight="234950"/>
  <slicer name="Source_City" xr10:uid="{EABE4674-749A-49F9-A0F8-3F1556120482}" cache="Slicer_Source_City" caption="Source_City" rowHeight="234950"/>
  <slicer name="Destination_City" xr10:uid="{5D2CD21D-8734-4819-B5B8-9911746A1FE5}" cache="Slicer_Destination_City" caption="Destination_City" rowHeight="234950"/>
  <slicer name="Delay_Status" xr10:uid="{90DD077C-D474-4395-9396-D6D1AFEE63B4}" cache="Slicer_Delay_Status" caption="Delay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531251-C781-4AD5-A9E6-7A9E079D07BE}" name="Table1" displayName="Table1" ref="A1:N601" totalsRowShown="0">
  <autoFilter ref="A1:N601" xr:uid="{9C531251-C781-4AD5-A9E6-7A9E079D07BE}"/>
  <tableColumns count="14">
    <tableColumn id="1" xr3:uid="{38FE44B4-69C6-43C5-9919-73DB2FC5AFF1}" name="Date" dataDxfId="2"/>
    <tableColumn id="2" xr3:uid="{D31E364E-54CD-47A7-B97B-447CBCEA5A3F}" name="Airline"/>
    <tableColumn id="3" xr3:uid="{AF06F18B-502B-480F-86BC-71D2587EDAA6}" name="Flight_Number"/>
    <tableColumn id="4" xr3:uid="{20534E32-AE47-4723-94CF-1B0D1F79E2D7}" name="Source_City"/>
    <tableColumn id="5" xr3:uid="{9D66B895-BEAF-47E4-9167-0F2118C4CD44}" name="Destination_City"/>
    <tableColumn id="6" xr3:uid="{E91A72DD-5867-4BFB-89F3-030AE283CCA8}" name="Departure_Time"/>
    <tableColumn id="7" xr3:uid="{F1A243A1-292E-4EC9-8DCE-9F881B188ED9}" name="Stops"/>
    <tableColumn id="8" xr3:uid="{C325CACE-A596-475F-8FBF-E602C212C56D}" name="Arrival_Time"/>
    <tableColumn id="9" xr3:uid="{AB2DAB01-3C8B-4BE5-8319-7E8EBEBCABC0}" name="Class"/>
    <tableColumn id="10" xr3:uid="{495583E0-2904-40F7-B3A6-240524F6106B}" name="Duration_Hours"/>
    <tableColumn id="11" xr3:uid="{54D76361-DB60-4C1B-898F-238B18FDD860}" name="Delay_Minutes"/>
    <tableColumn id="12" xr3:uid="{F648D30D-C447-4EB5-80A9-880794BFF8F6}" name="Delay_Reason"/>
    <tableColumn id="14" xr3:uid="{44016801-82F1-490F-B589-8079C510FE19}" name="Delay_Status" dataDxfId="1">
      <calculatedColumnFormula>IF(K2=0,"On Time","Delayed")</calculatedColumnFormula>
    </tableColumn>
    <tableColumn id="15" xr3:uid="{C3150E8B-DBF8-41FF-AD88-EBDEDE22D43C}" name="Route" dataDxfId="0">
      <calculatedColumnFormula>D2 &amp; " → " &amp; 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5E4B-1AE4-4922-BB06-A417BBA5E04A}">
  <dimension ref="A1:N601"/>
  <sheetViews>
    <sheetView topLeftCell="A2" workbookViewId="0">
      <selection activeCell="E9" sqref="E9"/>
    </sheetView>
  </sheetViews>
  <sheetFormatPr defaultRowHeight="14.4"/>
  <cols>
    <col min="1" max="1" width="10.33203125" bestFit="1" customWidth="1"/>
    <col min="3" max="3" width="15.33203125" customWidth="1"/>
    <col min="4" max="4" width="12.88671875" customWidth="1"/>
    <col min="5" max="5" width="16.6640625" customWidth="1"/>
    <col min="6" max="6" width="16.44140625" customWidth="1"/>
    <col min="8" max="8" width="13.44140625" customWidth="1"/>
    <col min="10" max="10" width="16.109375" customWidth="1"/>
    <col min="11" max="11" width="15.44140625" customWidth="1"/>
    <col min="12" max="12" width="14.6640625" customWidth="1"/>
    <col min="13" max="13" width="14" customWidth="1"/>
    <col min="14" max="14" width="20.6640625" customWidth="1"/>
  </cols>
  <sheetData>
    <row r="1" spans="1:14">
      <c r="A1" t="s">
        <v>0</v>
      </c>
      <c r="B1" t="s">
        <v>1</v>
      </c>
      <c r="C1" t="s">
        <v>2</v>
      </c>
      <c r="D1" t="s">
        <v>3</v>
      </c>
      <c r="E1" t="s">
        <v>4</v>
      </c>
      <c r="F1" t="s">
        <v>5</v>
      </c>
      <c r="G1" t="s">
        <v>6</v>
      </c>
      <c r="H1" t="s">
        <v>7</v>
      </c>
      <c r="I1" t="s">
        <v>8</v>
      </c>
      <c r="J1" t="s">
        <v>9</v>
      </c>
      <c r="K1" t="s">
        <v>10</v>
      </c>
      <c r="L1" t="s">
        <v>11</v>
      </c>
      <c r="M1" t="s">
        <v>12</v>
      </c>
      <c r="N1" t="s">
        <v>596</v>
      </c>
    </row>
    <row r="2" spans="1:14">
      <c r="A2" s="1">
        <v>45332</v>
      </c>
      <c r="B2" t="s">
        <v>13</v>
      </c>
      <c r="C2" t="s">
        <v>14</v>
      </c>
      <c r="D2" t="s">
        <v>15</v>
      </c>
      <c r="E2" t="s">
        <v>16</v>
      </c>
      <c r="F2" t="s">
        <v>17</v>
      </c>
      <c r="G2" t="s">
        <v>18</v>
      </c>
      <c r="H2" t="s">
        <v>17</v>
      </c>
      <c r="I2" t="s">
        <v>19</v>
      </c>
      <c r="J2">
        <v>7.7</v>
      </c>
      <c r="K2">
        <v>0</v>
      </c>
      <c r="L2" t="s">
        <v>20</v>
      </c>
      <c r="M2" t="str">
        <f t="shared" ref="M2:M65" si="0">IF(K2=0,"On Time","Delayed")</f>
        <v>On Time</v>
      </c>
      <c r="N2" t="str">
        <f t="shared" ref="N2:N65" si="1">D2 &amp; " → " &amp; E2</f>
        <v>Delhi → Chennai</v>
      </c>
    </row>
    <row r="3" spans="1:14">
      <c r="A3" s="1">
        <v>45293</v>
      </c>
      <c r="B3" t="s">
        <v>13</v>
      </c>
      <c r="C3" t="s">
        <v>21</v>
      </c>
      <c r="D3" t="s">
        <v>22</v>
      </c>
      <c r="E3" t="s">
        <v>23</v>
      </c>
      <c r="F3" t="s">
        <v>24</v>
      </c>
      <c r="G3" t="s">
        <v>18</v>
      </c>
      <c r="H3" t="s">
        <v>24</v>
      </c>
      <c r="I3" t="s">
        <v>19</v>
      </c>
      <c r="J3">
        <v>6.22</v>
      </c>
      <c r="K3">
        <v>96</v>
      </c>
      <c r="L3" t="s">
        <v>25</v>
      </c>
      <c r="M3" t="str">
        <f t="shared" si="0"/>
        <v>Delayed</v>
      </c>
      <c r="N3" t="str">
        <f t="shared" si="1"/>
        <v>Mumbai → Bangalore</v>
      </c>
    </row>
    <row r="4" spans="1:14">
      <c r="A4" s="1">
        <v>45343</v>
      </c>
      <c r="B4" t="s">
        <v>13</v>
      </c>
      <c r="C4" t="s">
        <v>26</v>
      </c>
      <c r="D4" t="s">
        <v>22</v>
      </c>
      <c r="E4" t="s">
        <v>27</v>
      </c>
      <c r="F4" t="s">
        <v>28</v>
      </c>
      <c r="G4" t="s">
        <v>18</v>
      </c>
      <c r="H4" t="s">
        <v>28</v>
      </c>
      <c r="I4" t="s">
        <v>19</v>
      </c>
      <c r="J4">
        <v>2.4700000000000002</v>
      </c>
      <c r="K4">
        <v>102</v>
      </c>
      <c r="L4" t="s">
        <v>25</v>
      </c>
      <c r="M4" t="str">
        <f t="shared" si="0"/>
        <v>Delayed</v>
      </c>
      <c r="N4" t="str">
        <f t="shared" si="1"/>
        <v>Mumbai → Hyderabad</v>
      </c>
    </row>
    <row r="5" spans="1:14">
      <c r="A5" s="1">
        <v>45314</v>
      </c>
      <c r="B5" t="s">
        <v>29</v>
      </c>
      <c r="C5" t="s">
        <v>30</v>
      </c>
      <c r="D5" t="s">
        <v>27</v>
      </c>
      <c r="E5" t="s">
        <v>23</v>
      </c>
      <c r="F5" t="s">
        <v>31</v>
      </c>
      <c r="G5" t="s">
        <v>18</v>
      </c>
      <c r="H5" t="s">
        <v>32</v>
      </c>
      <c r="I5" t="s">
        <v>33</v>
      </c>
      <c r="J5">
        <v>7.99</v>
      </c>
      <c r="K5">
        <v>15</v>
      </c>
      <c r="L5" t="s">
        <v>34</v>
      </c>
      <c r="M5" t="str">
        <f t="shared" si="0"/>
        <v>Delayed</v>
      </c>
      <c r="N5" t="str">
        <f t="shared" si="1"/>
        <v>Hyderabad → Bangalore</v>
      </c>
    </row>
    <row r="6" spans="1:14">
      <c r="A6" s="1">
        <v>45315</v>
      </c>
      <c r="B6" t="s">
        <v>35</v>
      </c>
      <c r="C6" t="s">
        <v>36</v>
      </c>
      <c r="D6" t="s">
        <v>22</v>
      </c>
      <c r="E6" t="s">
        <v>15</v>
      </c>
      <c r="F6" t="s">
        <v>31</v>
      </c>
      <c r="G6" t="s">
        <v>37</v>
      </c>
      <c r="H6" t="s">
        <v>17</v>
      </c>
      <c r="I6" t="s">
        <v>19</v>
      </c>
      <c r="J6">
        <v>10.6</v>
      </c>
      <c r="K6">
        <v>0</v>
      </c>
      <c r="L6" t="s">
        <v>20</v>
      </c>
      <c r="M6" t="str">
        <f t="shared" si="0"/>
        <v>On Time</v>
      </c>
      <c r="N6" t="str">
        <f t="shared" si="1"/>
        <v>Mumbai → Delhi</v>
      </c>
    </row>
    <row r="7" spans="1:14">
      <c r="A7" s="1">
        <v>45309</v>
      </c>
      <c r="B7" t="s">
        <v>38</v>
      </c>
      <c r="C7" t="s">
        <v>39</v>
      </c>
      <c r="D7" t="s">
        <v>40</v>
      </c>
      <c r="E7" t="s">
        <v>23</v>
      </c>
      <c r="F7" t="s">
        <v>17</v>
      </c>
      <c r="G7" t="s">
        <v>37</v>
      </c>
      <c r="H7" t="s">
        <v>28</v>
      </c>
      <c r="I7" t="s">
        <v>19</v>
      </c>
      <c r="J7">
        <v>11.33</v>
      </c>
      <c r="K7">
        <v>90</v>
      </c>
      <c r="L7" t="s">
        <v>34</v>
      </c>
      <c r="M7" t="str">
        <f t="shared" si="0"/>
        <v>Delayed</v>
      </c>
      <c r="N7" t="str">
        <f t="shared" si="1"/>
        <v>Kolkata → Bangalore</v>
      </c>
    </row>
    <row r="8" spans="1:14">
      <c r="A8" s="1">
        <v>45296</v>
      </c>
      <c r="B8" t="s">
        <v>35</v>
      </c>
      <c r="C8" t="s">
        <v>41</v>
      </c>
      <c r="D8" t="s">
        <v>40</v>
      </c>
      <c r="E8" t="s">
        <v>22</v>
      </c>
      <c r="F8" t="s">
        <v>24</v>
      </c>
      <c r="G8" t="s">
        <v>18</v>
      </c>
      <c r="H8" t="s">
        <v>17</v>
      </c>
      <c r="I8" t="s">
        <v>33</v>
      </c>
      <c r="J8">
        <v>8.73</v>
      </c>
      <c r="K8">
        <v>53</v>
      </c>
      <c r="L8" t="s">
        <v>34</v>
      </c>
      <c r="M8" t="str">
        <f t="shared" si="0"/>
        <v>Delayed</v>
      </c>
      <c r="N8" t="str">
        <f t="shared" si="1"/>
        <v>Kolkata → Mumbai</v>
      </c>
    </row>
    <row r="9" spans="1:14">
      <c r="A9" s="1">
        <v>45335</v>
      </c>
      <c r="B9" t="s">
        <v>29</v>
      </c>
      <c r="C9" t="s">
        <v>42</v>
      </c>
      <c r="D9" t="s">
        <v>15</v>
      </c>
      <c r="E9" t="s">
        <v>23</v>
      </c>
      <c r="F9" t="s">
        <v>31</v>
      </c>
      <c r="G9" t="s">
        <v>37</v>
      </c>
      <c r="H9" t="s">
        <v>28</v>
      </c>
      <c r="I9" t="s">
        <v>33</v>
      </c>
      <c r="J9">
        <v>11.09</v>
      </c>
      <c r="K9">
        <v>0</v>
      </c>
      <c r="L9" t="s">
        <v>20</v>
      </c>
      <c r="M9" t="str">
        <f t="shared" si="0"/>
        <v>On Time</v>
      </c>
      <c r="N9" t="str">
        <f t="shared" si="1"/>
        <v>Delhi → Bangalore</v>
      </c>
    </row>
    <row r="10" spans="1:14">
      <c r="A10" s="1">
        <v>45348</v>
      </c>
      <c r="B10" t="s">
        <v>29</v>
      </c>
      <c r="C10" t="s">
        <v>43</v>
      </c>
      <c r="D10" t="s">
        <v>22</v>
      </c>
      <c r="E10" t="s">
        <v>27</v>
      </c>
      <c r="F10" t="s">
        <v>32</v>
      </c>
      <c r="G10" t="s">
        <v>18</v>
      </c>
      <c r="H10" t="s">
        <v>32</v>
      </c>
      <c r="I10" t="s">
        <v>33</v>
      </c>
      <c r="J10">
        <v>9.32</v>
      </c>
      <c r="K10">
        <v>0</v>
      </c>
      <c r="L10" t="s">
        <v>20</v>
      </c>
      <c r="M10" t="str">
        <f t="shared" si="0"/>
        <v>On Time</v>
      </c>
      <c r="N10" t="str">
        <f t="shared" si="1"/>
        <v>Mumbai → Hyderabad</v>
      </c>
    </row>
    <row r="11" spans="1:14">
      <c r="A11" s="1">
        <v>45308</v>
      </c>
      <c r="B11" t="s">
        <v>35</v>
      </c>
      <c r="C11" t="s">
        <v>44</v>
      </c>
      <c r="D11" t="s">
        <v>16</v>
      </c>
      <c r="E11" t="s">
        <v>40</v>
      </c>
      <c r="F11" t="s">
        <v>32</v>
      </c>
      <c r="G11" t="s">
        <v>18</v>
      </c>
      <c r="H11" t="s">
        <v>28</v>
      </c>
      <c r="I11" t="s">
        <v>19</v>
      </c>
      <c r="J11">
        <v>9.44</v>
      </c>
      <c r="K11">
        <v>70</v>
      </c>
      <c r="L11" t="s">
        <v>25</v>
      </c>
      <c r="M11" t="str">
        <f t="shared" si="0"/>
        <v>Delayed</v>
      </c>
      <c r="N11" t="str">
        <f t="shared" si="1"/>
        <v>Chennai → Kolkata</v>
      </c>
    </row>
    <row r="12" spans="1:14">
      <c r="A12" s="1">
        <v>45299</v>
      </c>
      <c r="B12" t="s">
        <v>45</v>
      </c>
      <c r="C12" t="s">
        <v>46</v>
      </c>
      <c r="D12" t="s">
        <v>40</v>
      </c>
      <c r="E12" t="s">
        <v>22</v>
      </c>
      <c r="F12" t="s">
        <v>32</v>
      </c>
      <c r="G12" t="s">
        <v>18</v>
      </c>
      <c r="H12" t="s">
        <v>24</v>
      </c>
      <c r="I12" t="s">
        <v>33</v>
      </c>
      <c r="J12">
        <v>4.1399999999999997</v>
      </c>
      <c r="K12">
        <v>53</v>
      </c>
      <c r="L12" t="s">
        <v>34</v>
      </c>
      <c r="M12" t="str">
        <f t="shared" si="0"/>
        <v>Delayed</v>
      </c>
      <c r="N12" t="str">
        <f t="shared" si="1"/>
        <v>Kolkata → Mumbai</v>
      </c>
    </row>
    <row r="13" spans="1:14">
      <c r="A13" s="1">
        <v>45347</v>
      </c>
      <c r="B13" t="s">
        <v>13</v>
      </c>
      <c r="C13" t="s">
        <v>47</v>
      </c>
      <c r="D13" t="s">
        <v>40</v>
      </c>
      <c r="E13" t="s">
        <v>15</v>
      </c>
      <c r="F13" t="s">
        <v>24</v>
      </c>
      <c r="G13" t="s">
        <v>37</v>
      </c>
      <c r="H13" t="s">
        <v>28</v>
      </c>
      <c r="I13" t="s">
        <v>19</v>
      </c>
      <c r="J13">
        <v>6.26</v>
      </c>
      <c r="K13">
        <v>42</v>
      </c>
      <c r="L13" t="s">
        <v>25</v>
      </c>
      <c r="M13" t="str">
        <f t="shared" si="0"/>
        <v>Delayed</v>
      </c>
      <c r="N13" t="str">
        <f t="shared" si="1"/>
        <v>Kolkata → Delhi</v>
      </c>
    </row>
    <row r="14" spans="1:14">
      <c r="A14" s="1">
        <v>45348</v>
      </c>
      <c r="B14" t="s">
        <v>29</v>
      </c>
      <c r="C14" t="s">
        <v>48</v>
      </c>
      <c r="D14" t="s">
        <v>27</v>
      </c>
      <c r="E14" t="s">
        <v>22</v>
      </c>
      <c r="F14" t="s">
        <v>24</v>
      </c>
      <c r="G14" t="s">
        <v>37</v>
      </c>
      <c r="H14" t="s">
        <v>31</v>
      </c>
      <c r="I14" t="s">
        <v>19</v>
      </c>
      <c r="J14">
        <v>7.16</v>
      </c>
      <c r="K14">
        <v>24</v>
      </c>
      <c r="L14" t="s">
        <v>25</v>
      </c>
      <c r="M14" t="str">
        <f t="shared" si="0"/>
        <v>Delayed</v>
      </c>
      <c r="N14" t="str">
        <f t="shared" si="1"/>
        <v>Hyderabad → Mumbai</v>
      </c>
    </row>
    <row r="15" spans="1:14">
      <c r="A15" s="1">
        <v>45351</v>
      </c>
      <c r="B15" t="s">
        <v>35</v>
      </c>
      <c r="C15" t="s">
        <v>49</v>
      </c>
      <c r="D15" t="s">
        <v>15</v>
      </c>
      <c r="E15" t="s">
        <v>40</v>
      </c>
      <c r="F15" t="s">
        <v>28</v>
      </c>
      <c r="G15" t="s">
        <v>18</v>
      </c>
      <c r="H15" t="s">
        <v>32</v>
      </c>
      <c r="I15" t="s">
        <v>19</v>
      </c>
      <c r="J15">
        <v>2.11</v>
      </c>
      <c r="K15">
        <v>51</v>
      </c>
      <c r="L15" t="s">
        <v>25</v>
      </c>
      <c r="M15" t="str">
        <f t="shared" si="0"/>
        <v>Delayed</v>
      </c>
      <c r="N15" t="str">
        <f t="shared" si="1"/>
        <v>Delhi → Kolkata</v>
      </c>
    </row>
    <row r="16" spans="1:14">
      <c r="A16" s="1">
        <v>45328</v>
      </c>
      <c r="B16" t="s">
        <v>13</v>
      </c>
      <c r="C16" t="s">
        <v>50</v>
      </c>
      <c r="D16" t="s">
        <v>15</v>
      </c>
      <c r="E16" t="s">
        <v>27</v>
      </c>
      <c r="F16" t="s">
        <v>31</v>
      </c>
      <c r="G16" t="s">
        <v>18</v>
      </c>
      <c r="H16" t="s">
        <v>24</v>
      </c>
      <c r="I16" t="s">
        <v>19</v>
      </c>
      <c r="J16">
        <v>3.23</v>
      </c>
      <c r="K16">
        <v>89</v>
      </c>
      <c r="L16" t="s">
        <v>34</v>
      </c>
      <c r="M16" t="str">
        <f t="shared" si="0"/>
        <v>Delayed</v>
      </c>
      <c r="N16" t="str">
        <f t="shared" si="1"/>
        <v>Delhi → Hyderabad</v>
      </c>
    </row>
    <row r="17" spans="1:14">
      <c r="A17" s="1">
        <v>45347</v>
      </c>
      <c r="B17" t="s">
        <v>35</v>
      </c>
      <c r="C17" t="s">
        <v>51</v>
      </c>
      <c r="D17" t="s">
        <v>16</v>
      </c>
      <c r="E17" t="s">
        <v>22</v>
      </c>
      <c r="F17" t="s">
        <v>24</v>
      </c>
      <c r="G17" t="s">
        <v>37</v>
      </c>
      <c r="H17" t="s">
        <v>17</v>
      </c>
      <c r="I17" t="s">
        <v>33</v>
      </c>
      <c r="J17">
        <v>10.95</v>
      </c>
      <c r="K17">
        <v>90</v>
      </c>
      <c r="L17" t="s">
        <v>52</v>
      </c>
      <c r="M17" t="str">
        <f t="shared" si="0"/>
        <v>Delayed</v>
      </c>
      <c r="N17" t="str">
        <f t="shared" si="1"/>
        <v>Chennai → Mumbai</v>
      </c>
    </row>
    <row r="18" spans="1:14">
      <c r="A18" s="1">
        <v>45299</v>
      </c>
      <c r="B18" t="s">
        <v>45</v>
      </c>
      <c r="C18" t="s">
        <v>53</v>
      </c>
      <c r="D18" t="s">
        <v>22</v>
      </c>
      <c r="E18" t="s">
        <v>15</v>
      </c>
      <c r="F18" t="s">
        <v>28</v>
      </c>
      <c r="G18" t="s">
        <v>18</v>
      </c>
      <c r="H18" t="s">
        <v>31</v>
      </c>
      <c r="I18" t="s">
        <v>19</v>
      </c>
      <c r="J18">
        <v>8.93</v>
      </c>
      <c r="K18">
        <v>0</v>
      </c>
      <c r="L18" t="s">
        <v>20</v>
      </c>
      <c r="M18" t="str">
        <f t="shared" si="0"/>
        <v>On Time</v>
      </c>
      <c r="N18" t="str">
        <f t="shared" si="1"/>
        <v>Mumbai → Delhi</v>
      </c>
    </row>
    <row r="19" spans="1:14">
      <c r="A19" s="1">
        <v>45306</v>
      </c>
      <c r="B19" t="s">
        <v>13</v>
      </c>
      <c r="C19" t="s">
        <v>54</v>
      </c>
      <c r="D19" t="s">
        <v>15</v>
      </c>
      <c r="E19" t="s">
        <v>16</v>
      </c>
      <c r="F19" t="s">
        <v>31</v>
      </c>
      <c r="G19" t="s">
        <v>18</v>
      </c>
      <c r="H19" t="s">
        <v>24</v>
      </c>
      <c r="I19" t="s">
        <v>33</v>
      </c>
      <c r="J19">
        <v>7.16</v>
      </c>
      <c r="K19">
        <v>90</v>
      </c>
      <c r="L19" t="s">
        <v>25</v>
      </c>
      <c r="M19" t="str">
        <f t="shared" si="0"/>
        <v>Delayed</v>
      </c>
      <c r="N19" t="str">
        <f t="shared" si="1"/>
        <v>Delhi → Chennai</v>
      </c>
    </row>
    <row r="20" spans="1:14">
      <c r="A20" s="1">
        <v>45351</v>
      </c>
      <c r="B20" t="s">
        <v>35</v>
      </c>
      <c r="C20" t="s">
        <v>55</v>
      </c>
      <c r="D20" t="s">
        <v>27</v>
      </c>
      <c r="E20" t="s">
        <v>16</v>
      </c>
      <c r="F20" t="s">
        <v>17</v>
      </c>
      <c r="G20" t="s">
        <v>37</v>
      </c>
      <c r="H20" t="s">
        <v>32</v>
      </c>
      <c r="I20" t="s">
        <v>19</v>
      </c>
      <c r="J20">
        <v>8.42</v>
      </c>
      <c r="K20">
        <v>0</v>
      </c>
      <c r="L20" t="s">
        <v>20</v>
      </c>
      <c r="M20" t="str">
        <f t="shared" si="0"/>
        <v>On Time</v>
      </c>
      <c r="N20" t="str">
        <f t="shared" si="1"/>
        <v>Hyderabad → Chennai</v>
      </c>
    </row>
    <row r="21" spans="1:14">
      <c r="A21" s="1">
        <v>45319</v>
      </c>
      <c r="B21" t="s">
        <v>38</v>
      </c>
      <c r="C21" t="s">
        <v>56</v>
      </c>
      <c r="D21" t="s">
        <v>16</v>
      </c>
      <c r="E21" t="s">
        <v>15</v>
      </c>
      <c r="F21" t="s">
        <v>31</v>
      </c>
      <c r="G21" t="s">
        <v>37</v>
      </c>
      <c r="H21" t="s">
        <v>31</v>
      </c>
      <c r="I21" t="s">
        <v>33</v>
      </c>
      <c r="J21">
        <v>4.1100000000000003</v>
      </c>
      <c r="K21">
        <v>0</v>
      </c>
      <c r="L21" t="s">
        <v>20</v>
      </c>
      <c r="M21" t="str">
        <f t="shared" si="0"/>
        <v>On Time</v>
      </c>
      <c r="N21" t="str">
        <f t="shared" si="1"/>
        <v>Chennai → Delhi</v>
      </c>
    </row>
    <row r="22" spans="1:14">
      <c r="A22" s="1">
        <v>45326</v>
      </c>
      <c r="B22" t="s">
        <v>38</v>
      </c>
      <c r="C22" t="s">
        <v>57</v>
      </c>
      <c r="D22" t="s">
        <v>22</v>
      </c>
      <c r="E22" t="s">
        <v>27</v>
      </c>
      <c r="F22" t="s">
        <v>17</v>
      </c>
      <c r="G22" t="s">
        <v>37</v>
      </c>
      <c r="H22" t="s">
        <v>28</v>
      </c>
      <c r="I22" t="s">
        <v>19</v>
      </c>
      <c r="J22">
        <v>6.15</v>
      </c>
      <c r="K22">
        <v>0</v>
      </c>
      <c r="L22" t="s">
        <v>20</v>
      </c>
      <c r="M22" t="str">
        <f t="shared" si="0"/>
        <v>On Time</v>
      </c>
      <c r="N22" t="str">
        <f t="shared" si="1"/>
        <v>Mumbai → Hyderabad</v>
      </c>
    </row>
    <row r="23" spans="1:14">
      <c r="A23" s="1">
        <v>45346</v>
      </c>
      <c r="B23" t="s">
        <v>35</v>
      </c>
      <c r="C23" t="s">
        <v>58</v>
      </c>
      <c r="D23" t="s">
        <v>15</v>
      </c>
      <c r="E23" t="s">
        <v>22</v>
      </c>
      <c r="F23" t="s">
        <v>24</v>
      </c>
      <c r="G23" t="s">
        <v>18</v>
      </c>
      <c r="H23" t="s">
        <v>31</v>
      </c>
      <c r="I23" t="s">
        <v>19</v>
      </c>
      <c r="J23">
        <v>6.55</v>
      </c>
      <c r="K23">
        <v>26</v>
      </c>
      <c r="L23" t="s">
        <v>52</v>
      </c>
      <c r="M23" t="str">
        <f t="shared" si="0"/>
        <v>Delayed</v>
      </c>
      <c r="N23" t="str">
        <f t="shared" si="1"/>
        <v>Delhi → Mumbai</v>
      </c>
    </row>
    <row r="24" spans="1:14">
      <c r="A24" s="1">
        <v>45317</v>
      </c>
      <c r="B24" t="s">
        <v>13</v>
      </c>
      <c r="C24" t="s">
        <v>59</v>
      </c>
      <c r="D24" t="s">
        <v>22</v>
      </c>
      <c r="E24" t="s">
        <v>27</v>
      </c>
      <c r="F24" t="s">
        <v>31</v>
      </c>
      <c r="G24" t="s">
        <v>37</v>
      </c>
      <c r="H24" t="s">
        <v>32</v>
      </c>
      <c r="I24" t="s">
        <v>33</v>
      </c>
      <c r="J24">
        <v>11.55</v>
      </c>
      <c r="K24">
        <v>41</v>
      </c>
      <c r="L24" t="s">
        <v>34</v>
      </c>
      <c r="M24" t="str">
        <f t="shared" si="0"/>
        <v>Delayed</v>
      </c>
      <c r="N24" t="str">
        <f t="shared" si="1"/>
        <v>Mumbai → Hyderabad</v>
      </c>
    </row>
    <row r="25" spans="1:14">
      <c r="A25" s="1">
        <v>45327</v>
      </c>
      <c r="B25" t="s">
        <v>38</v>
      </c>
      <c r="C25" t="s">
        <v>60</v>
      </c>
      <c r="D25" t="s">
        <v>22</v>
      </c>
      <c r="E25" t="s">
        <v>23</v>
      </c>
      <c r="F25" t="s">
        <v>28</v>
      </c>
      <c r="G25" t="s">
        <v>18</v>
      </c>
      <c r="H25" t="s">
        <v>17</v>
      </c>
      <c r="I25" t="s">
        <v>19</v>
      </c>
      <c r="J25">
        <v>2.0299999999999998</v>
      </c>
      <c r="K25">
        <v>100</v>
      </c>
      <c r="L25" t="s">
        <v>25</v>
      </c>
      <c r="M25" t="str">
        <f t="shared" si="0"/>
        <v>Delayed</v>
      </c>
      <c r="N25" t="str">
        <f t="shared" si="1"/>
        <v>Mumbai → Bangalore</v>
      </c>
    </row>
    <row r="26" spans="1:14">
      <c r="A26" s="1">
        <v>45324</v>
      </c>
      <c r="B26" t="s">
        <v>35</v>
      </c>
      <c r="C26" t="s">
        <v>61</v>
      </c>
      <c r="D26" t="s">
        <v>22</v>
      </c>
      <c r="E26" t="s">
        <v>15</v>
      </c>
      <c r="F26" t="s">
        <v>24</v>
      </c>
      <c r="G26" t="s">
        <v>18</v>
      </c>
      <c r="H26" t="s">
        <v>31</v>
      </c>
      <c r="I26" t="s">
        <v>19</v>
      </c>
      <c r="J26">
        <v>8.59</v>
      </c>
      <c r="K26">
        <v>0</v>
      </c>
      <c r="L26" t="s">
        <v>20</v>
      </c>
      <c r="M26" t="str">
        <f t="shared" si="0"/>
        <v>On Time</v>
      </c>
      <c r="N26" t="str">
        <f t="shared" si="1"/>
        <v>Mumbai → Delhi</v>
      </c>
    </row>
    <row r="27" spans="1:14">
      <c r="A27" s="1">
        <v>45317</v>
      </c>
      <c r="B27" t="s">
        <v>13</v>
      </c>
      <c r="C27" t="s">
        <v>62</v>
      </c>
      <c r="D27" t="s">
        <v>27</v>
      </c>
      <c r="E27" t="s">
        <v>22</v>
      </c>
      <c r="F27" t="s">
        <v>24</v>
      </c>
      <c r="G27" t="s">
        <v>18</v>
      </c>
      <c r="H27" t="s">
        <v>24</v>
      </c>
      <c r="I27" t="s">
        <v>19</v>
      </c>
      <c r="J27">
        <v>3.64</v>
      </c>
      <c r="K27">
        <v>58</v>
      </c>
      <c r="L27" t="s">
        <v>52</v>
      </c>
      <c r="M27" t="str">
        <f t="shared" si="0"/>
        <v>Delayed</v>
      </c>
      <c r="N27" t="str">
        <f t="shared" si="1"/>
        <v>Hyderabad → Mumbai</v>
      </c>
    </row>
    <row r="28" spans="1:14">
      <c r="A28" s="1">
        <v>45312</v>
      </c>
      <c r="B28" t="s">
        <v>45</v>
      </c>
      <c r="C28" t="s">
        <v>63</v>
      </c>
      <c r="D28" t="s">
        <v>23</v>
      </c>
      <c r="E28" t="s">
        <v>27</v>
      </c>
      <c r="F28" t="s">
        <v>17</v>
      </c>
      <c r="G28" t="s">
        <v>37</v>
      </c>
      <c r="H28" t="s">
        <v>28</v>
      </c>
      <c r="I28" t="s">
        <v>33</v>
      </c>
      <c r="J28">
        <v>1.6</v>
      </c>
      <c r="K28">
        <v>0</v>
      </c>
      <c r="L28" t="s">
        <v>20</v>
      </c>
      <c r="M28" t="str">
        <f t="shared" si="0"/>
        <v>On Time</v>
      </c>
      <c r="N28" t="str">
        <f t="shared" si="1"/>
        <v>Bangalore → Hyderabad</v>
      </c>
    </row>
    <row r="29" spans="1:14">
      <c r="A29" s="1">
        <v>45328</v>
      </c>
      <c r="B29" t="s">
        <v>13</v>
      </c>
      <c r="C29" t="s">
        <v>64</v>
      </c>
      <c r="D29" t="s">
        <v>15</v>
      </c>
      <c r="E29" t="s">
        <v>40</v>
      </c>
      <c r="F29" t="s">
        <v>17</v>
      </c>
      <c r="G29" t="s">
        <v>37</v>
      </c>
      <c r="H29" t="s">
        <v>24</v>
      </c>
      <c r="I29" t="s">
        <v>19</v>
      </c>
      <c r="J29">
        <v>10.73</v>
      </c>
      <c r="K29">
        <v>0</v>
      </c>
      <c r="L29" t="s">
        <v>20</v>
      </c>
      <c r="M29" t="str">
        <f t="shared" si="0"/>
        <v>On Time</v>
      </c>
      <c r="N29" t="str">
        <f t="shared" si="1"/>
        <v>Delhi → Kolkata</v>
      </c>
    </row>
    <row r="30" spans="1:14">
      <c r="A30" s="1">
        <v>45310</v>
      </c>
      <c r="B30" t="s">
        <v>45</v>
      </c>
      <c r="C30" t="s">
        <v>65</v>
      </c>
      <c r="D30" t="s">
        <v>16</v>
      </c>
      <c r="E30" t="s">
        <v>40</v>
      </c>
      <c r="F30" t="s">
        <v>28</v>
      </c>
      <c r="G30" t="s">
        <v>18</v>
      </c>
      <c r="H30" t="s">
        <v>24</v>
      </c>
      <c r="I30" t="s">
        <v>33</v>
      </c>
      <c r="J30">
        <v>11.36</v>
      </c>
      <c r="K30">
        <v>0</v>
      </c>
      <c r="L30" t="s">
        <v>20</v>
      </c>
      <c r="M30" t="str">
        <f t="shared" si="0"/>
        <v>On Time</v>
      </c>
      <c r="N30" t="str">
        <f t="shared" si="1"/>
        <v>Chennai → Kolkata</v>
      </c>
    </row>
    <row r="31" spans="1:14">
      <c r="A31" s="1">
        <v>45308</v>
      </c>
      <c r="B31" t="s">
        <v>13</v>
      </c>
      <c r="C31" t="s">
        <v>66</v>
      </c>
      <c r="D31" t="s">
        <v>15</v>
      </c>
      <c r="E31" t="s">
        <v>40</v>
      </c>
      <c r="F31" t="s">
        <v>17</v>
      </c>
      <c r="G31" t="s">
        <v>37</v>
      </c>
      <c r="H31" t="s">
        <v>28</v>
      </c>
      <c r="I31" t="s">
        <v>19</v>
      </c>
      <c r="J31">
        <v>8.7200000000000006</v>
      </c>
      <c r="K31">
        <v>96</v>
      </c>
      <c r="L31" t="s">
        <v>25</v>
      </c>
      <c r="M31" t="str">
        <f t="shared" si="0"/>
        <v>Delayed</v>
      </c>
      <c r="N31" t="str">
        <f t="shared" si="1"/>
        <v>Delhi → Kolkata</v>
      </c>
    </row>
    <row r="32" spans="1:14">
      <c r="A32" s="1">
        <v>45308</v>
      </c>
      <c r="B32" t="s">
        <v>35</v>
      </c>
      <c r="C32" t="s">
        <v>67</v>
      </c>
      <c r="D32" t="s">
        <v>16</v>
      </c>
      <c r="E32" t="s">
        <v>23</v>
      </c>
      <c r="F32" t="s">
        <v>31</v>
      </c>
      <c r="G32" t="s">
        <v>37</v>
      </c>
      <c r="H32" t="s">
        <v>31</v>
      </c>
      <c r="I32" t="s">
        <v>33</v>
      </c>
      <c r="J32">
        <v>5</v>
      </c>
      <c r="K32">
        <v>0</v>
      </c>
      <c r="L32" t="s">
        <v>20</v>
      </c>
      <c r="M32" t="str">
        <f t="shared" si="0"/>
        <v>On Time</v>
      </c>
      <c r="N32" t="str">
        <f t="shared" si="1"/>
        <v>Chennai → Bangalore</v>
      </c>
    </row>
    <row r="33" spans="1:14">
      <c r="A33" s="1">
        <v>45332</v>
      </c>
      <c r="B33" t="s">
        <v>29</v>
      </c>
      <c r="C33" t="s">
        <v>68</v>
      </c>
      <c r="D33" t="s">
        <v>22</v>
      </c>
      <c r="E33" t="s">
        <v>27</v>
      </c>
      <c r="F33" t="s">
        <v>24</v>
      </c>
      <c r="G33" t="s">
        <v>18</v>
      </c>
      <c r="H33" t="s">
        <v>32</v>
      </c>
      <c r="I33" t="s">
        <v>19</v>
      </c>
      <c r="J33">
        <v>7.23</v>
      </c>
      <c r="K33">
        <v>0</v>
      </c>
      <c r="L33" t="s">
        <v>20</v>
      </c>
      <c r="M33" t="str">
        <f t="shared" si="0"/>
        <v>On Time</v>
      </c>
      <c r="N33" t="str">
        <f t="shared" si="1"/>
        <v>Mumbai → Hyderabad</v>
      </c>
    </row>
    <row r="34" spans="1:14">
      <c r="A34" s="1">
        <v>45315</v>
      </c>
      <c r="B34" t="s">
        <v>35</v>
      </c>
      <c r="C34" t="s">
        <v>69</v>
      </c>
      <c r="D34" t="s">
        <v>27</v>
      </c>
      <c r="E34" t="s">
        <v>22</v>
      </c>
      <c r="F34" t="s">
        <v>32</v>
      </c>
      <c r="G34" t="s">
        <v>18</v>
      </c>
      <c r="H34" t="s">
        <v>17</v>
      </c>
      <c r="I34" t="s">
        <v>33</v>
      </c>
      <c r="J34">
        <v>10.94</v>
      </c>
      <c r="K34">
        <v>0</v>
      </c>
      <c r="L34" t="s">
        <v>20</v>
      </c>
      <c r="M34" t="str">
        <f t="shared" si="0"/>
        <v>On Time</v>
      </c>
      <c r="N34" t="str">
        <f t="shared" si="1"/>
        <v>Hyderabad → Mumbai</v>
      </c>
    </row>
    <row r="35" spans="1:14">
      <c r="A35" s="1">
        <v>45335</v>
      </c>
      <c r="B35" t="s">
        <v>45</v>
      </c>
      <c r="C35" t="s">
        <v>70</v>
      </c>
      <c r="D35" t="s">
        <v>40</v>
      </c>
      <c r="E35" t="s">
        <v>15</v>
      </c>
      <c r="F35" t="s">
        <v>28</v>
      </c>
      <c r="G35" t="s">
        <v>37</v>
      </c>
      <c r="H35" t="s">
        <v>24</v>
      </c>
      <c r="I35" t="s">
        <v>19</v>
      </c>
      <c r="J35">
        <v>11.75</v>
      </c>
      <c r="K35">
        <v>0</v>
      </c>
      <c r="L35" t="s">
        <v>20</v>
      </c>
      <c r="M35" t="str">
        <f t="shared" si="0"/>
        <v>On Time</v>
      </c>
      <c r="N35" t="str">
        <f t="shared" si="1"/>
        <v>Kolkata → Delhi</v>
      </c>
    </row>
    <row r="36" spans="1:14">
      <c r="A36" s="1">
        <v>45303</v>
      </c>
      <c r="B36" t="s">
        <v>38</v>
      </c>
      <c r="C36" t="s">
        <v>71</v>
      </c>
      <c r="D36" t="s">
        <v>15</v>
      </c>
      <c r="E36" t="s">
        <v>23</v>
      </c>
      <c r="F36" t="s">
        <v>28</v>
      </c>
      <c r="G36" t="s">
        <v>18</v>
      </c>
      <c r="H36" t="s">
        <v>32</v>
      </c>
      <c r="I36" t="s">
        <v>33</v>
      </c>
      <c r="J36">
        <v>5.52</v>
      </c>
      <c r="K36">
        <v>0</v>
      </c>
      <c r="L36" t="s">
        <v>20</v>
      </c>
      <c r="M36" t="str">
        <f t="shared" si="0"/>
        <v>On Time</v>
      </c>
      <c r="N36" t="str">
        <f t="shared" si="1"/>
        <v>Delhi → Bangalore</v>
      </c>
    </row>
    <row r="37" spans="1:14">
      <c r="A37" s="1">
        <v>45346</v>
      </c>
      <c r="B37" t="s">
        <v>38</v>
      </c>
      <c r="C37" t="s">
        <v>72</v>
      </c>
      <c r="D37" t="s">
        <v>22</v>
      </c>
      <c r="E37" t="s">
        <v>23</v>
      </c>
      <c r="F37" t="s">
        <v>32</v>
      </c>
      <c r="G37" t="s">
        <v>37</v>
      </c>
      <c r="H37" t="s">
        <v>28</v>
      </c>
      <c r="I37" t="s">
        <v>19</v>
      </c>
      <c r="J37">
        <v>8.43</v>
      </c>
      <c r="K37">
        <v>0</v>
      </c>
      <c r="L37" t="s">
        <v>20</v>
      </c>
      <c r="M37" t="str">
        <f t="shared" si="0"/>
        <v>On Time</v>
      </c>
      <c r="N37" t="str">
        <f t="shared" si="1"/>
        <v>Mumbai → Bangalore</v>
      </c>
    </row>
    <row r="38" spans="1:14">
      <c r="A38" s="1">
        <v>45313</v>
      </c>
      <c r="B38" t="s">
        <v>29</v>
      </c>
      <c r="C38" t="s">
        <v>73</v>
      </c>
      <c r="D38" t="s">
        <v>15</v>
      </c>
      <c r="E38" t="s">
        <v>16</v>
      </c>
      <c r="F38" t="s">
        <v>28</v>
      </c>
      <c r="G38" t="s">
        <v>37</v>
      </c>
      <c r="H38" t="s">
        <v>24</v>
      </c>
      <c r="I38" t="s">
        <v>33</v>
      </c>
      <c r="J38">
        <v>10.71</v>
      </c>
      <c r="K38">
        <v>0</v>
      </c>
      <c r="L38" t="s">
        <v>20</v>
      </c>
      <c r="M38" t="str">
        <f t="shared" si="0"/>
        <v>On Time</v>
      </c>
      <c r="N38" t="str">
        <f t="shared" si="1"/>
        <v>Delhi → Chennai</v>
      </c>
    </row>
    <row r="39" spans="1:14">
      <c r="A39" s="1">
        <v>45303</v>
      </c>
      <c r="B39" t="s">
        <v>35</v>
      </c>
      <c r="C39" t="s">
        <v>74</v>
      </c>
      <c r="D39" t="s">
        <v>23</v>
      </c>
      <c r="E39" t="s">
        <v>15</v>
      </c>
      <c r="F39" t="s">
        <v>31</v>
      </c>
      <c r="G39" t="s">
        <v>37</v>
      </c>
      <c r="H39" t="s">
        <v>24</v>
      </c>
      <c r="I39" t="s">
        <v>33</v>
      </c>
      <c r="J39">
        <v>7.87</v>
      </c>
      <c r="K39">
        <v>98</v>
      </c>
      <c r="L39" t="s">
        <v>52</v>
      </c>
      <c r="M39" t="str">
        <f t="shared" si="0"/>
        <v>Delayed</v>
      </c>
      <c r="N39" t="str">
        <f t="shared" si="1"/>
        <v>Bangalore → Delhi</v>
      </c>
    </row>
    <row r="40" spans="1:14">
      <c r="A40" s="1">
        <v>45299</v>
      </c>
      <c r="B40" t="s">
        <v>38</v>
      </c>
      <c r="C40" t="s">
        <v>75</v>
      </c>
      <c r="D40" t="s">
        <v>27</v>
      </c>
      <c r="E40" t="s">
        <v>22</v>
      </c>
      <c r="F40" t="s">
        <v>28</v>
      </c>
      <c r="G40" t="s">
        <v>37</v>
      </c>
      <c r="H40" t="s">
        <v>31</v>
      </c>
      <c r="I40" t="s">
        <v>19</v>
      </c>
      <c r="J40">
        <v>5.32</v>
      </c>
      <c r="K40">
        <v>0</v>
      </c>
      <c r="L40" t="s">
        <v>20</v>
      </c>
      <c r="M40" t="str">
        <f t="shared" si="0"/>
        <v>On Time</v>
      </c>
      <c r="N40" t="str">
        <f t="shared" si="1"/>
        <v>Hyderabad → Mumbai</v>
      </c>
    </row>
    <row r="41" spans="1:14">
      <c r="A41" s="1">
        <v>45352</v>
      </c>
      <c r="B41" t="s">
        <v>29</v>
      </c>
      <c r="C41" t="s">
        <v>76</v>
      </c>
      <c r="D41" t="s">
        <v>27</v>
      </c>
      <c r="E41" t="s">
        <v>23</v>
      </c>
      <c r="F41" t="s">
        <v>31</v>
      </c>
      <c r="G41" t="s">
        <v>37</v>
      </c>
      <c r="H41" t="s">
        <v>28</v>
      </c>
      <c r="I41" t="s">
        <v>33</v>
      </c>
      <c r="J41">
        <v>4.5999999999999996</v>
      </c>
      <c r="K41">
        <v>46</v>
      </c>
      <c r="L41" t="s">
        <v>34</v>
      </c>
      <c r="M41" t="str">
        <f t="shared" si="0"/>
        <v>Delayed</v>
      </c>
      <c r="N41" t="str">
        <f t="shared" si="1"/>
        <v>Hyderabad → Bangalore</v>
      </c>
    </row>
    <row r="42" spans="1:14">
      <c r="A42" s="1">
        <v>45304</v>
      </c>
      <c r="B42" t="s">
        <v>38</v>
      </c>
      <c r="C42" t="s">
        <v>77</v>
      </c>
      <c r="D42" t="s">
        <v>40</v>
      </c>
      <c r="E42" t="s">
        <v>16</v>
      </c>
      <c r="F42" t="s">
        <v>17</v>
      </c>
      <c r="G42" t="s">
        <v>37</v>
      </c>
      <c r="H42" t="s">
        <v>24</v>
      </c>
      <c r="I42" t="s">
        <v>33</v>
      </c>
      <c r="J42">
        <v>4.6900000000000004</v>
      </c>
      <c r="K42">
        <v>0</v>
      </c>
      <c r="L42" t="s">
        <v>20</v>
      </c>
      <c r="M42" t="str">
        <f t="shared" si="0"/>
        <v>On Time</v>
      </c>
      <c r="N42" t="str">
        <f t="shared" si="1"/>
        <v>Kolkata → Chennai</v>
      </c>
    </row>
    <row r="43" spans="1:14">
      <c r="A43" s="1">
        <v>45319</v>
      </c>
      <c r="B43" t="s">
        <v>35</v>
      </c>
      <c r="C43" t="s">
        <v>78</v>
      </c>
      <c r="D43" t="s">
        <v>27</v>
      </c>
      <c r="E43" t="s">
        <v>23</v>
      </c>
      <c r="F43" t="s">
        <v>32</v>
      </c>
      <c r="G43" t="s">
        <v>37</v>
      </c>
      <c r="H43" t="s">
        <v>32</v>
      </c>
      <c r="I43" t="s">
        <v>19</v>
      </c>
      <c r="J43">
        <v>3.28</v>
      </c>
      <c r="K43">
        <v>70</v>
      </c>
      <c r="L43" t="s">
        <v>34</v>
      </c>
      <c r="M43" t="str">
        <f t="shared" si="0"/>
        <v>Delayed</v>
      </c>
      <c r="N43" t="str">
        <f t="shared" si="1"/>
        <v>Hyderabad → Bangalore</v>
      </c>
    </row>
    <row r="44" spans="1:14">
      <c r="A44" s="1">
        <v>45310</v>
      </c>
      <c r="B44" t="s">
        <v>35</v>
      </c>
      <c r="C44" t="s">
        <v>79</v>
      </c>
      <c r="D44" t="s">
        <v>40</v>
      </c>
      <c r="E44" t="s">
        <v>27</v>
      </c>
      <c r="F44" t="s">
        <v>28</v>
      </c>
      <c r="G44" t="s">
        <v>18</v>
      </c>
      <c r="H44" t="s">
        <v>31</v>
      </c>
      <c r="I44" t="s">
        <v>33</v>
      </c>
      <c r="J44">
        <v>3.05</v>
      </c>
      <c r="K44">
        <v>0</v>
      </c>
      <c r="L44" t="s">
        <v>20</v>
      </c>
      <c r="M44" t="str">
        <f t="shared" si="0"/>
        <v>On Time</v>
      </c>
      <c r="N44" t="str">
        <f t="shared" si="1"/>
        <v>Kolkata → Hyderabad</v>
      </c>
    </row>
    <row r="45" spans="1:14">
      <c r="A45" s="1">
        <v>45307</v>
      </c>
      <c r="B45" t="s">
        <v>38</v>
      </c>
      <c r="C45" t="s">
        <v>80</v>
      </c>
      <c r="D45" t="s">
        <v>27</v>
      </c>
      <c r="E45" t="s">
        <v>15</v>
      </c>
      <c r="F45" t="s">
        <v>32</v>
      </c>
      <c r="G45" t="s">
        <v>18</v>
      </c>
      <c r="H45" t="s">
        <v>32</v>
      </c>
      <c r="I45" t="s">
        <v>33</v>
      </c>
      <c r="J45">
        <v>3.05</v>
      </c>
      <c r="K45">
        <v>68</v>
      </c>
      <c r="L45" t="s">
        <v>25</v>
      </c>
      <c r="M45" t="str">
        <f t="shared" si="0"/>
        <v>Delayed</v>
      </c>
      <c r="N45" t="str">
        <f t="shared" si="1"/>
        <v>Hyderabad → Delhi</v>
      </c>
    </row>
    <row r="46" spans="1:14">
      <c r="A46" s="1">
        <v>45292</v>
      </c>
      <c r="B46" t="s">
        <v>13</v>
      </c>
      <c r="C46" t="s">
        <v>81</v>
      </c>
      <c r="D46" t="s">
        <v>16</v>
      </c>
      <c r="E46" t="s">
        <v>22</v>
      </c>
      <c r="F46" t="s">
        <v>17</v>
      </c>
      <c r="G46" t="s">
        <v>37</v>
      </c>
      <c r="H46" t="s">
        <v>24</v>
      </c>
      <c r="I46" t="s">
        <v>19</v>
      </c>
      <c r="J46">
        <v>11.13</v>
      </c>
      <c r="K46">
        <v>0</v>
      </c>
      <c r="L46" t="s">
        <v>20</v>
      </c>
      <c r="M46" t="str">
        <f t="shared" si="0"/>
        <v>On Time</v>
      </c>
      <c r="N46" t="str">
        <f t="shared" si="1"/>
        <v>Chennai → Mumbai</v>
      </c>
    </row>
    <row r="47" spans="1:14">
      <c r="A47" s="1">
        <v>45321</v>
      </c>
      <c r="B47" t="s">
        <v>45</v>
      </c>
      <c r="C47" t="s">
        <v>82</v>
      </c>
      <c r="D47" t="s">
        <v>16</v>
      </c>
      <c r="E47" t="s">
        <v>40</v>
      </c>
      <c r="F47" t="s">
        <v>24</v>
      </c>
      <c r="G47" t="s">
        <v>37</v>
      </c>
      <c r="H47" t="s">
        <v>24</v>
      </c>
      <c r="I47" t="s">
        <v>33</v>
      </c>
      <c r="J47">
        <v>6.18</v>
      </c>
      <c r="K47">
        <v>83</v>
      </c>
      <c r="L47" t="s">
        <v>34</v>
      </c>
      <c r="M47" t="str">
        <f t="shared" si="0"/>
        <v>Delayed</v>
      </c>
      <c r="N47" t="str">
        <f t="shared" si="1"/>
        <v>Chennai → Kolkata</v>
      </c>
    </row>
    <row r="48" spans="1:14">
      <c r="A48" s="1">
        <v>45339</v>
      </c>
      <c r="B48" t="s">
        <v>38</v>
      </c>
      <c r="C48" t="s">
        <v>83</v>
      </c>
      <c r="D48" t="s">
        <v>16</v>
      </c>
      <c r="E48" t="s">
        <v>23</v>
      </c>
      <c r="F48" t="s">
        <v>17</v>
      </c>
      <c r="G48" t="s">
        <v>37</v>
      </c>
      <c r="H48" t="s">
        <v>28</v>
      </c>
      <c r="I48" t="s">
        <v>19</v>
      </c>
      <c r="J48">
        <v>8.99</v>
      </c>
      <c r="K48">
        <v>40</v>
      </c>
      <c r="L48" t="s">
        <v>25</v>
      </c>
      <c r="M48" t="str">
        <f t="shared" si="0"/>
        <v>Delayed</v>
      </c>
      <c r="N48" t="str">
        <f t="shared" si="1"/>
        <v>Chennai → Bangalore</v>
      </c>
    </row>
    <row r="49" spans="1:14">
      <c r="A49" s="1">
        <v>45309</v>
      </c>
      <c r="B49" t="s">
        <v>29</v>
      </c>
      <c r="C49" t="s">
        <v>84</v>
      </c>
      <c r="D49" t="s">
        <v>23</v>
      </c>
      <c r="E49" t="s">
        <v>40</v>
      </c>
      <c r="F49" t="s">
        <v>31</v>
      </c>
      <c r="G49" t="s">
        <v>18</v>
      </c>
      <c r="H49" t="s">
        <v>17</v>
      </c>
      <c r="I49" t="s">
        <v>19</v>
      </c>
      <c r="J49">
        <v>8.92</v>
      </c>
      <c r="K49">
        <v>0</v>
      </c>
      <c r="L49" t="s">
        <v>20</v>
      </c>
      <c r="M49" t="str">
        <f t="shared" si="0"/>
        <v>On Time</v>
      </c>
      <c r="N49" t="str">
        <f t="shared" si="1"/>
        <v>Bangalore → Kolkata</v>
      </c>
    </row>
    <row r="50" spans="1:14">
      <c r="A50" s="1">
        <v>45318</v>
      </c>
      <c r="B50" t="s">
        <v>38</v>
      </c>
      <c r="C50" t="s">
        <v>85</v>
      </c>
      <c r="D50" t="s">
        <v>23</v>
      </c>
      <c r="E50" t="s">
        <v>40</v>
      </c>
      <c r="F50" t="s">
        <v>32</v>
      </c>
      <c r="G50" t="s">
        <v>18</v>
      </c>
      <c r="H50" t="s">
        <v>32</v>
      </c>
      <c r="I50" t="s">
        <v>19</v>
      </c>
      <c r="J50">
        <v>11</v>
      </c>
      <c r="K50">
        <v>111</v>
      </c>
      <c r="L50" t="s">
        <v>52</v>
      </c>
      <c r="M50" t="str">
        <f t="shared" si="0"/>
        <v>Delayed</v>
      </c>
      <c r="N50" t="str">
        <f t="shared" si="1"/>
        <v>Bangalore → Kolkata</v>
      </c>
    </row>
    <row r="51" spans="1:14">
      <c r="A51" s="1">
        <v>45352</v>
      </c>
      <c r="B51" t="s">
        <v>13</v>
      </c>
      <c r="C51" t="s">
        <v>86</v>
      </c>
      <c r="D51" t="s">
        <v>27</v>
      </c>
      <c r="E51" t="s">
        <v>16</v>
      </c>
      <c r="F51" t="s">
        <v>32</v>
      </c>
      <c r="G51" t="s">
        <v>37</v>
      </c>
      <c r="H51" t="s">
        <v>31</v>
      </c>
      <c r="I51" t="s">
        <v>33</v>
      </c>
      <c r="J51">
        <v>7.15</v>
      </c>
      <c r="K51">
        <v>101</v>
      </c>
      <c r="L51" t="s">
        <v>52</v>
      </c>
      <c r="M51" t="str">
        <f t="shared" si="0"/>
        <v>Delayed</v>
      </c>
      <c r="N51" t="str">
        <f t="shared" si="1"/>
        <v>Hyderabad → Chennai</v>
      </c>
    </row>
    <row r="52" spans="1:14">
      <c r="A52" s="1">
        <v>45326</v>
      </c>
      <c r="B52" t="s">
        <v>35</v>
      </c>
      <c r="C52" t="s">
        <v>87</v>
      </c>
      <c r="D52" t="s">
        <v>22</v>
      </c>
      <c r="E52" t="s">
        <v>27</v>
      </c>
      <c r="F52" t="s">
        <v>17</v>
      </c>
      <c r="G52" t="s">
        <v>37</v>
      </c>
      <c r="H52" t="s">
        <v>28</v>
      </c>
      <c r="I52" t="s">
        <v>33</v>
      </c>
      <c r="J52">
        <v>8.52</v>
      </c>
      <c r="K52">
        <v>8</v>
      </c>
      <c r="L52" t="s">
        <v>52</v>
      </c>
      <c r="M52" t="str">
        <f t="shared" si="0"/>
        <v>Delayed</v>
      </c>
      <c r="N52" t="str">
        <f t="shared" si="1"/>
        <v>Mumbai → Hyderabad</v>
      </c>
    </row>
    <row r="53" spans="1:14">
      <c r="A53" s="1">
        <v>45317</v>
      </c>
      <c r="B53" t="s">
        <v>45</v>
      </c>
      <c r="C53" t="s">
        <v>88</v>
      </c>
      <c r="D53" t="s">
        <v>16</v>
      </c>
      <c r="E53" t="s">
        <v>22</v>
      </c>
      <c r="F53" t="s">
        <v>24</v>
      </c>
      <c r="G53" t="s">
        <v>18</v>
      </c>
      <c r="H53" t="s">
        <v>24</v>
      </c>
      <c r="I53" t="s">
        <v>33</v>
      </c>
      <c r="J53">
        <v>2.38</v>
      </c>
      <c r="K53">
        <v>0</v>
      </c>
      <c r="L53" t="s">
        <v>20</v>
      </c>
      <c r="M53" t="str">
        <f t="shared" si="0"/>
        <v>On Time</v>
      </c>
      <c r="N53" t="str">
        <f t="shared" si="1"/>
        <v>Chennai → Mumbai</v>
      </c>
    </row>
    <row r="54" spans="1:14">
      <c r="A54" s="1">
        <v>45300</v>
      </c>
      <c r="B54" t="s">
        <v>38</v>
      </c>
      <c r="C54" t="s">
        <v>89</v>
      </c>
      <c r="D54" t="s">
        <v>22</v>
      </c>
      <c r="E54" t="s">
        <v>15</v>
      </c>
      <c r="F54" t="s">
        <v>28</v>
      </c>
      <c r="G54" t="s">
        <v>37</v>
      </c>
      <c r="H54" t="s">
        <v>32</v>
      </c>
      <c r="I54" t="s">
        <v>19</v>
      </c>
      <c r="J54">
        <v>9.49</v>
      </c>
      <c r="K54">
        <v>63</v>
      </c>
      <c r="L54" t="s">
        <v>52</v>
      </c>
      <c r="M54" t="str">
        <f t="shared" si="0"/>
        <v>Delayed</v>
      </c>
      <c r="N54" t="str">
        <f t="shared" si="1"/>
        <v>Mumbai → Delhi</v>
      </c>
    </row>
    <row r="55" spans="1:14">
      <c r="A55" s="1">
        <v>45309</v>
      </c>
      <c r="B55" t="s">
        <v>38</v>
      </c>
      <c r="C55" t="s">
        <v>90</v>
      </c>
      <c r="D55" t="s">
        <v>23</v>
      </c>
      <c r="E55" t="s">
        <v>15</v>
      </c>
      <c r="F55" t="s">
        <v>32</v>
      </c>
      <c r="G55" t="s">
        <v>18</v>
      </c>
      <c r="H55" t="s">
        <v>31</v>
      </c>
      <c r="I55" t="s">
        <v>33</v>
      </c>
      <c r="J55">
        <v>9.6999999999999993</v>
      </c>
      <c r="K55">
        <v>0</v>
      </c>
      <c r="L55" t="s">
        <v>20</v>
      </c>
      <c r="M55" t="str">
        <f t="shared" si="0"/>
        <v>On Time</v>
      </c>
      <c r="N55" t="str">
        <f t="shared" si="1"/>
        <v>Bangalore → Delhi</v>
      </c>
    </row>
    <row r="56" spans="1:14">
      <c r="A56" s="1">
        <v>45294</v>
      </c>
      <c r="B56" t="s">
        <v>13</v>
      </c>
      <c r="C56" t="s">
        <v>91</v>
      </c>
      <c r="D56" t="s">
        <v>22</v>
      </c>
      <c r="E56" t="s">
        <v>23</v>
      </c>
      <c r="F56" t="s">
        <v>31</v>
      </c>
      <c r="G56" t="s">
        <v>18</v>
      </c>
      <c r="H56" t="s">
        <v>24</v>
      </c>
      <c r="I56" t="s">
        <v>19</v>
      </c>
      <c r="J56">
        <v>2.7</v>
      </c>
      <c r="K56">
        <v>21</v>
      </c>
      <c r="L56" t="s">
        <v>34</v>
      </c>
      <c r="M56" t="str">
        <f t="shared" si="0"/>
        <v>Delayed</v>
      </c>
      <c r="N56" t="str">
        <f t="shared" si="1"/>
        <v>Mumbai → Bangalore</v>
      </c>
    </row>
    <row r="57" spans="1:14">
      <c r="A57" s="1">
        <v>45321</v>
      </c>
      <c r="B57" t="s">
        <v>29</v>
      </c>
      <c r="C57" t="s">
        <v>92</v>
      </c>
      <c r="D57" t="s">
        <v>23</v>
      </c>
      <c r="E57" t="s">
        <v>22</v>
      </c>
      <c r="F57" t="s">
        <v>24</v>
      </c>
      <c r="G57" t="s">
        <v>18</v>
      </c>
      <c r="H57" t="s">
        <v>24</v>
      </c>
      <c r="I57" t="s">
        <v>19</v>
      </c>
      <c r="J57">
        <v>7.58</v>
      </c>
      <c r="K57">
        <v>0</v>
      </c>
      <c r="L57" t="s">
        <v>20</v>
      </c>
      <c r="M57" t="str">
        <f t="shared" si="0"/>
        <v>On Time</v>
      </c>
      <c r="N57" t="str">
        <f t="shared" si="1"/>
        <v>Bangalore → Mumbai</v>
      </c>
    </row>
    <row r="58" spans="1:14">
      <c r="A58" s="1">
        <v>45328</v>
      </c>
      <c r="B58" t="s">
        <v>38</v>
      </c>
      <c r="C58" t="s">
        <v>93</v>
      </c>
      <c r="D58" t="s">
        <v>16</v>
      </c>
      <c r="E58" t="s">
        <v>22</v>
      </c>
      <c r="F58" t="s">
        <v>31</v>
      </c>
      <c r="G58" t="s">
        <v>18</v>
      </c>
      <c r="H58" t="s">
        <v>24</v>
      </c>
      <c r="I58" t="s">
        <v>19</v>
      </c>
      <c r="J58">
        <v>7.8</v>
      </c>
      <c r="K58">
        <v>94</v>
      </c>
      <c r="L58" t="s">
        <v>34</v>
      </c>
      <c r="M58" t="str">
        <f t="shared" si="0"/>
        <v>Delayed</v>
      </c>
      <c r="N58" t="str">
        <f t="shared" si="1"/>
        <v>Chennai → Mumbai</v>
      </c>
    </row>
    <row r="59" spans="1:14">
      <c r="A59" s="1">
        <v>45342</v>
      </c>
      <c r="B59" t="s">
        <v>35</v>
      </c>
      <c r="C59" t="s">
        <v>94</v>
      </c>
      <c r="D59" t="s">
        <v>15</v>
      </c>
      <c r="E59" t="s">
        <v>16</v>
      </c>
      <c r="F59" t="s">
        <v>24</v>
      </c>
      <c r="G59" t="s">
        <v>37</v>
      </c>
      <c r="H59" t="s">
        <v>32</v>
      </c>
      <c r="I59" t="s">
        <v>19</v>
      </c>
      <c r="J59">
        <v>10.42</v>
      </c>
      <c r="K59">
        <v>69</v>
      </c>
      <c r="L59" t="s">
        <v>25</v>
      </c>
      <c r="M59" t="str">
        <f t="shared" si="0"/>
        <v>Delayed</v>
      </c>
      <c r="N59" t="str">
        <f t="shared" si="1"/>
        <v>Delhi → Chennai</v>
      </c>
    </row>
    <row r="60" spans="1:14">
      <c r="A60" s="1">
        <v>45323</v>
      </c>
      <c r="B60" t="s">
        <v>13</v>
      </c>
      <c r="C60" t="s">
        <v>95</v>
      </c>
      <c r="D60" t="s">
        <v>16</v>
      </c>
      <c r="E60" t="s">
        <v>23</v>
      </c>
      <c r="F60" t="s">
        <v>32</v>
      </c>
      <c r="G60" t="s">
        <v>37</v>
      </c>
      <c r="H60" t="s">
        <v>17</v>
      </c>
      <c r="I60" t="s">
        <v>19</v>
      </c>
      <c r="J60">
        <v>9.99</v>
      </c>
      <c r="K60">
        <v>98</v>
      </c>
      <c r="L60" t="s">
        <v>34</v>
      </c>
      <c r="M60" t="str">
        <f t="shared" si="0"/>
        <v>Delayed</v>
      </c>
      <c r="N60" t="str">
        <f t="shared" si="1"/>
        <v>Chennai → Bangalore</v>
      </c>
    </row>
    <row r="61" spans="1:14">
      <c r="A61" s="1">
        <v>45341</v>
      </c>
      <c r="B61" t="s">
        <v>38</v>
      </c>
      <c r="C61" t="s">
        <v>96</v>
      </c>
      <c r="D61" t="s">
        <v>16</v>
      </c>
      <c r="E61" t="s">
        <v>27</v>
      </c>
      <c r="F61" t="s">
        <v>24</v>
      </c>
      <c r="G61" t="s">
        <v>37</v>
      </c>
      <c r="H61" t="s">
        <v>28</v>
      </c>
      <c r="I61" t="s">
        <v>19</v>
      </c>
      <c r="J61">
        <v>4.43</v>
      </c>
      <c r="K61">
        <v>0</v>
      </c>
      <c r="L61" t="s">
        <v>20</v>
      </c>
      <c r="M61" t="str">
        <f t="shared" si="0"/>
        <v>On Time</v>
      </c>
      <c r="N61" t="str">
        <f t="shared" si="1"/>
        <v>Chennai → Hyderabad</v>
      </c>
    </row>
    <row r="62" spans="1:14">
      <c r="A62" s="1">
        <v>45307</v>
      </c>
      <c r="B62" t="s">
        <v>38</v>
      </c>
      <c r="C62" t="s">
        <v>97</v>
      </c>
      <c r="D62" t="s">
        <v>27</v>
      </c>
      <c r="E62" t="s">
        <v>40</v>
      </c>
      <c r="F62" t="s">
        <v>32</v>
      </c>
      <c r="G62" t="s">
        <v>18</v>
      </c>
      <c r="H62" t="s">
        <v>28</v>
      </c>
      <c r="I62" t="s">
        <v>33</v>
      </c>
      <c r="J62">
        <v>6.62</v>
      </c>
      <c r="K62">
        <v>113</v>
      </c>
      <c r="L62" t="s">
        <v>25</v>
      </c>
      <c r="M62" t="str">
        <f t="shared" si="0"/>
        <v>Delayed</v>
      </c>
      <c r="N62" t="str">
        <f t="shared" si="1"/>
        <v>Hyderabad → Kolkata</v>
      </c>
    </row>
    <row r="63" spans="1:14">
      <c r="A63" s="1">
        <v>45343</v>
      </c>
      <c r="B63" t="s">
        <v>29</v>
      </c>
      <c r="C63" t="s">
        <v>98</v>
      </c>
      <c r="D63" t="s">
        <v>23</v>
      </c>
      <c r="E63" t="s">
        <v>16</v>
      </c>
      <c r="F63" t="s">
        <v>24</v>
      </c>
      <c r="G63" t="s">
        <v>18</v>
      </c>
      <c r="H63" t="s">
        <v>28</v>
      </c>
      <c r="I63" t="s">
        <v>19</v>
      </c>
      <c r="J63">
        <v>9.06</v>
      </c>
      <c r="K63">
        <v>0</v>
      </c>
      <c r="L63" t="s">
        <v>20</v>
      </c>
      <c r="M63" t="str">
        <f t="shared" si="0"/>
        <v>On Time</v>
      </c>
      <c r="N63" t="str">
        <f t="shared" si="1"/>
        <v>Bangalore → Chennai</v>
      </c>
    </row>
    <row r="64" spans="1:14">
      <c r="A64" s="1">
        <v>45327</v>
      </c>
      <c r="B64" t="s">
        <v>45</v>
      </c>
      <c r="C64" t="s">
        <v>99</v>
      </c>
      <c r="D64" t="s">
        <v>40</v>
      </c>
      <c r="E64" t="s">
        <v>16</v>
      </c>
      <c r="F64" t="s">
        <v>32</v>
      </c>
      <c r="G64" t="s">
        <v>18</v>
      </c>
      <c r="H64" t="s">
        <v>32</v>
      </c>
      <c r="I64" t="s">
        <v>19</v>
      </c>
      <c r="J64">
        <v>5.75</v>
      </c>
      <c r="K64">
        <v>0</v>
      </c>
      <c r="L64" t="s">
        <v>20</v>
      </c>
      <c r="M64" t="str">
        <f t="shared" si="0"/>
        <v>On Time</v>
      </c>
      <c r="N64" t="str">
        <f t="shared" si="1"/>
        <v>Kolkata → Chennai</v>
      </c>
    </row>
    <row r="65" spans="1:14">
      <c r="A65" s="1">
        <v>45311</v>
      </c>
      <c r="B65" t="s">
        <v>35</v>
      </c>
      <c r="C65" t="s">
        <v>100</v>
      </c>
      <c r="D65" t="s">
        <v>23</v>
      </c>
      <c r="E65" t="s">
        <v>27</v>
      </c>
      <c r="F65" t="s">
        <v>24</v>
      </c>
      <c r="G65" t="s">
        <v>37</v>
      </c>
      <c r="H65" t="s">
        <v>24</v>
      </c>
      <c r="I65" t="s">
        <v>33</v>
      </c>
      <c r="J65">
        <v>8.8800000000000008</v>
      </c>
      <c r="K65">
        <v>100</v>
      </c>
      <c r="L65" t="s">
        <v>52</v>
      </c>
      <c r="M65" t="str">
        <f t="shared" si="0"/>
        <v>Delayed</v>
      </c>
      <c r="N65" t="str">
        <f t="shared" si="1"/>
        <v>Bangalore → Hyderabad</v>
      </c>
    </row>
    <row r="66" spans="1:14">
      <c r="A66" s="1">
        <v>45311</v>
      </c>
      <c r="B66" t="s">
        <v>29</v>
      </c>
      <c r="C66" t="s">
        <v>101</v>
      </c>
      <c r="D66" t="s">
        <v>22</v>
      </c>
      <c r="E66" t="s">
        <v>15</v>
      </c>
      <c r="F66" t="s">
        <v>17</v>
      </c>
      <c r="G66" t="s">
        <v>18</v>
      </c>
      <c r="H66" t="s">
        <v>28</v>
      </c>
      <c r="I66" t="s">
        <v>19</v>
      </c>
      <c r="J66">
        <v>9.26</v>
      </c>
      <c r="K66">
        <v>0</v>
      </c>
      <c r="L66" t="s">
        <v>20</v>
      </c>
      <c r="M66" t="str">
        <f t="shared" ref="M66:M129" si="2">IF(K66=0,"On Time","Delayed")</f>
        <v>On Time</v>
      </c>
      <c r="N66" t="str">
        <f t="shared" ref="N66:N129" si="3">D66 &amp; " → " &amp; E66</f>
        <v>Mumbai → Delhi</v>
      </c>
    </row>
    <row r="67" spans="1:14">
      <c r="A67" s="1">
        <v>45338</v>
      </c>
      <c r="B67" t="s">
        <v>35</v>
      </c>
      <c r="C67" t="s">
        <v>102</v>
      </c>
      <c r="D67" t="s">
        <v>27</v>
      </c>
      <c r="E67" t="s">
        <v>40</v>
      </c>
      <c r="F67" t="s">
        <v>28</v>
      </c>
      <c r="G67" t="s">
        <v>18</v>
      </c>
      <c r="H67" t="s">
        <v>31</v>
      </c>
      <c r="I67" t="s">
        <v>33</v>
      </c>
      <c r="J67">
        <v>4.67</v>
      </c>
      <c r="K67">
        <v>34</v>
      </c>
      <c r="L67" t="s">
        <v>25</v>
      </c>
      <c r="M67" t="str">
        <f t="shared" si="2"/>
        <v>Delayed</v>
      </c>
      <c r="N67" t="str">
        <f t="shared" si="3"/>
        <v>Hyderabad → Kolkata</v>
      </c>
    </row>
    <row r="68" spans="1:14">
      <c r="A68" s="1">
        <v>45326</v>
      </c>
      <c r="B68" t="s">
        <v>45</v>
      </c>
      <c r="C68" t="s">
        <v>103</v>
      </c>
      <c r="D68" t="s">
        <v>23</v>
      </c>
      <c r="E68" t="s">
        <v>15</v>
      </c>
      <c r="F68" t="s">
        <v>31</v>
      </c>
      <c r="G68" t="s">
        <v>37</v>
      </c>
      <c r="H68" t="s">
        <v>24</v>
      </c>
      <c r="I68" t="s">
        <v>19</v>
      </c>
      <c r="J68">
        <v>10.66</v>
      </c>
      <c r="K68">
        <v>86</v>
      </c>
      <c r="L68" t="s">
        <v>25</v>
      </c>
      <c r="M68" t="str">
        <f t="shared" si="2"/>
        <v>Delayed</v>
      </c>
      <c r="N68" t="str">
        <f t="shared" si="3"/>
        <v>Bangalore → Delhi</v>
      </c>
    </row>
    <row r="69" spans="1:14">
      <c r="A69" s="1">
        <v>45310</v>
      </c>
      <c r="B69" t="s">
        <v>38</v>
      </c>
      <c r="C69" t="s">
        <v>104</v>
      </c>
      <c r="D69" t="s">
        <v>16</v>
      </c>
      <c r="E69" t="s">
        <v>27</v>
      </c>
      <c r="F69" t="s">
        <v>28</v>
      </c>
      <c r="G69" t="s">
        <v>18</v>
      </c>
      <c r="H69" t="s">
        <v>17</v>
      </c>
      <c r="I69" t="s">
        <v>33</v>
      </c>
      <c r="J69">
        <v>10.130000000000001</v>
      </c>
      <c r="K69">
        <v>115</v>
      </c>
      <c r="L69" t="s">
        <v>25</v>
      </c>
      <c r="M69" t="str">
        <f t="shared" si="2"/>
        <v>Delayed</v>
      </c>
      <c r="N69" t="str">
        <f t="shared" si="3"/>
        <v>Chennai → Hyderabad</v>
      </c>
    </row>
    <row r="70" spans="1:14">
      <c r="A70" s="1">
        <v>45323</v>
      </c>
      <c r="B70" t="s">
        <v>13</v>
      </c>
      <c r="C70" t="s">
        <v>105</v>
      </c>
      <c r="D70" t="s">
        <v>27</v>
      </c>
      <c r="E70" t="s">
        <v>15</v>
      </c>
      <c r="F70" t="s">
        <v>17</v>
      </c>
      <c r="G70" t="s">
        <v>37</v>
      </c>
      <c r="H70" t="s">
        <v>17</v>
      </c>
      <c r="I70" t="s">
        <v>19</v>
      </c>
      <c r="J70">
        <v>7.36</v>
      </c>
      <c r="K70">
        <v>0</v>
      </c>
      <c r="L70" t="s">
        <v>20</v>
      </c>
      <c r="M70" t="str">
        <f t="shared" si="2"/>
        <v>On Time</v>
      </c>
      <c r="N70" t="str">
        <f t="shared" si="3"/>
        <v>Hyderabad → Delhi</v>
      </c>
    </row>
    <row r="71" spans="1:14">
      <c r="A71" s="1">
        <v>45330</v>
      </c>
      <c r="B71" t="s">
        <v>35</v>
      </c>
      <c r="C71" t="s">
        <v>106</v>
      </c>
      <c r="D71" t="s">
        <v>27</v>
      </c>
      <c r="E71" t="s">
        <v>22</v>
      </c>
      <c r="F71" t="s">
        <v>24</v>
      </c>
      <c r="G71" t="s">
        <v>37</v>
      </c>
      <c r="H71" t="s">
        <v>32</v>
      </c>
      <c r="I71" t="s">
        <v>33</v>
      </c>
      <c r="J71">
        <v>7.47</v>
      </c>
      <c r="K71">
        <v>43</v>
      </c>
      <c r="L71" t="s">
        <v>52</v>
      </c>
      <c r="M71" t="str">
        <f t="shared" si="2"/>
        <v>Delayed</v>
      </c>
      <c r="N71" t="str">
        <f t="shared" si="3"/>
        <v>Hyderabad → Mumbai</v>
      </c>
    </row>
    <row r="72" spans="1:14">
      <c r="A72" s="1">
        <v>45331</v>
      </c>
      <c r="B72" t="s">
        <v>13</v>
      </c>
      <c r="C72" t="s">
        <v>107</v>
      </c>
      <c r="D72" t="s">
        <v>22</v>
      </c>
      <c r="E72" t="s">
        <v>23</v>
      </c>
      <c r="F72" t="s">
        <v>28</v>
      </c>
      <c r="G72" t="s">
        <v>18</v>
      </c>
      <c r="H72" t="s">
        <v>31</v>
      </c>
      <c r="I72" t="s">
        <v>19</v>
      </c>
      <c r="J72">
        <v>3.14</v>
      </c>
      <c r="K72">
        <v>0</v>
      </c>
      <c r="L72" t="s">
        <v>20</v>
      </c>
      <c r="M72" t="str">
        <f t="shared" si="2"/>
        <v>On Time</v>
      </c>
      <c r="N72" t="str">
        <f t="shared" si="3"/>
        <v>Mumbai → Bangalore</v>
      </c>
    </row>
    <row r="73" spans="1:14">
      <c r="A73" s="1">
        <v>45320</v>
      </c>
      <c r="B73" t="s">
        <v>35</v>
      </c>
      <c r="C73" t="s">
        <v>108</v>
      </c>
      <c r="D73" t="s">
        <v>16</v>
      </c>
      <c r="E73" t="s">
        <v>23</v>
      </c>
      <c r="F73" t="s">
        <v>31</v>
      </c>
      <c r="G73" t="s">
        <v>37</v>
      </c>
      <c r="H73" t="s">
        <v>17</v>
      </c>
      <c r="I73" t="s">
        <v>33</v>
      </c>
      <c r="J73">
        <v>8.7200000000000006</v>
      </c>
      <c r="K73">
        <v>94</v>
      </c>
      <c r="L73" t="s">
        <v>25</v>
      </c>
      <c r="M73" t="str">
        <f t="shared" si="2"/>
        <v>Delayed</v>
      </c>
      <c r="N73" t="str">
        <f t="shared" si="3"/>
        <v>Chennai → Bangalore</v>
      </c>
    </row>
    <row r="74" spans="1:14">
      <c r="A74" s="1">
        <v>45342</v>
      </c>
      <c r="B74" t="s">
        <v>35</v>
      </c>
      <c r="C74" t="s">
        <v>109</v>
      </c>
      <c r="D74" t="s">
        <v>40</v>
      </c>
      <c r="E74" t="s">
        <v>22</v>
      </c>
      <c r="F74" t="s">
        <v>32</v>
      </c>
      <c r="G74" t="s">
        <v>18</v>
      </c>
      <c r="H74" t="s">
        <v>31</v>
      </c>
      <c r="I74" t="s">
        <v>19</v>
      </c>
      <c r="J74">
        <v>2.25</v>
      </c>
      <c r="K74">
        <v>0</v>
      </c>
      <c r="L74" t="s">
        <v>20</v>
      </c>
      <c r="M74" t="str">
        <f t="shared" si="2"/>
        <v>On Time</v>
      </c>
      <c r="N74" t="str">
        <f t="shared" si="3"/>
        <v>Kolkata → Mumbai</v>
      </c>
    </row>
    <row r="75" spans="1:14">
      <c r="A75" s="1">
        <v>45342</v>
      </c>
      <c r="B75" t="s">
        <v>29</v>
      </c>
      <c r="C75" t="s">
        <v>110</v>
      </c>
      <c r="D75" t="s">
        <v>27</v>
      </c>
      <c r="E75" t="s">
        <v>40</v>
      </c>
      <c r="F75" t="s">
        <v>28</v>
      </c>
      <c r="G75" t="s">
        <v>18</v>
      </c>
      <c r="H75" t="s">
        <v>32</v>
      </c>
      <c r="I75" t="s">
        <v>33</v>
      </c>
      <c r="J75">
        <v>5.73</v>
      </c>
      <c r="K75">
        <v>93</v>
      </c>
      <c r="L75" t="s">
        <v>34</v>
      </c>
      <c r="M75" t="str">
        <f t="shared" si="2"/>
        <v>Delayed</v>
      </c>
      <c r="N75" t="str">
        <f t="shared" si="3"/>
        <v>Hyderabad → Kolkata</v>
      </c>
    </row>
    <row r="76" spans="1:14">
      <c r="A76" s="1">
        <v>45324</v>
      </c>
      <c r="B76" t="s">
        <v>35</v>
      </c>
      <c r="C76" t="s">
        <v>111</v>
      </c>
      <c r="D76" t="s">
        <v>16</v>
      </c>
      <c r="E76" t="s">
        <v>27</v>
      </c>
      <c r="F76" t="s">
        <v>31</v>
      </c>
      <c r="G76" t="s">
        <v>18</v>
      </c>
      <c r="H76" t="s">
        <v>24</v>
      </c>
      <c r="I76" t="s">
        <v>33</v>
      </c>
      <c r="J76">
        <v>4.13</v>
      </c>
      <c r="K76">
        <v>99</v>
      </c>
      <c r="L76" t="s">
        <v>34</v>
      </c>
      <c r="M76" t="str">
        <f t="shared" si="2"/>
        <v>Delayed</v>
      </c>
      <c r="N76" t="str">
        <f t="shared" si="3"/>
        <v>Chennai → Hyderabad</v>
      </c>
    </row>
    <row r="77" spans="1:14">
      <c r="A77" s="1">
        <v>45306</v>
      </c>
      <c r="B77" t="s">
        <v>35</v>
      </c>
      <c r="C77" t="s">
        <v>112</v>
      </c>
      <c r="D77" t="s">
        <v>27</v>
      </c>
      <c r="E77" t="s">
        <v>15</v>
      </c>
      <c r="F77" t="s">
        <v>28</v>
      </c>
      <c r="G77" t="s">
        <v>18</v>
      </c>
      <c r="H77" t="s">
        <v>24</v>
      </c>
      <c r="I77" t="s">
        <v>19</v>
      </c>
      <c r="J77">
        <v>3.41</v>
      </c>
      <c r="K77">
        <v>65</v>
      </c>
      <c r="L77" t="s">
        <v>52</v>
      </c>
      <c r="M77" t="str">
        <f t="shared" si="2"/>
        <v>Delayed</v>
      </c>
      <c r="N77" t="str">
        <f t="shared" si="3"/>
        <v>Hyderabad → Delhi</v>
      </c>
    </row>
    <row r="78" spans="1:14">
      <c r="A78" s="1">
        <v>45319</v>
      </c>
      <c r="B78" t="s">
        <v>38</v>
      </c>
      <c r="C78" t="s">
        <v>113</v>
      </c>
      <c r="D78" t="s">
        <v>15</v>
      </c>
      <c r="E78" t="s">
        <v>27</v>
      </c>
      <c r="F78" t="s">
        <v>28</v>
      </c>
      <c r="G78" t="s">
        <v>37</v>
      </c>
      <c r="H78" t="s">
        <v>32</v>
      </c>
      <c r="I78" t="s">
        <v>33</v>
      </c>
      <c r="J78">
        <v>10.51</v>
      </c>
      <c r="K78">
        <v>0</v>
      </c>
      <c r="L78" t="s">
        <v>20</v>
      </c>
      <c r="M78" t="str">
        <f t="shared" si="2"/>
        <v>On Time</v>
      </c>
      <c r="N78" t="str">
        <f t="shared" si="3"/>
        <v>Delhi → Hyderabad</v>
      </c>
    </row>
    <row r="79" spans="1:14">
      <c r="A79" s="1">
        <v>45318</v>
      </c>
      <c r="B79" t="s">
        <v>38</v>
      </c>
      <c r="C79" t="s">
        <v>114</v>
      </c>
      <c r="D79" t="s">
        <v>23</v>
      </c>
      <c r="E79" t="s">
        <v>27</v>
      </c>
      <c r="F79" t="s">
        <v>24</v>
      </c>
      <c r="G79" t="s">
        <v>37</v>
      </c>
      <c r="H79" t="s">
        <v>31</v>
      </c>
      <c r="I79" t="s">
        <v>19</v>
      </c>
      <c r="J79">
        <v>2.72</v>
      </c>
      <c r="K79">
        <v>45</v>
      </c>
      <c r="L79" t="s">
        <v>52</v>
      </c>
      <c r="M79" t="str">
        <f t="shared" si="2"/>
        <v>Delayed</v>
      </c>
      <c r="N79" t="str">
        <f t="shared" si="3"/>
        <v>Bangalore → Hyderabad</v>
      </c>
    </row>
    <row r="80" spans="1:14">
      <c r="A80" s="1">
        <v>45317</v>
      </c>
      <c r="B80" t="s">
        <v>35</v>
      </c>
      <c r="C80" t="s">
        <v>115</v>
      </c>
      <c r="D80" t="s">
        <v>15</v>
      </c>
      <c r="E80" t="s">
        <v>40</v>
      </c>
      <c r="F80" t="s">
        <v>32</v>
      </c>
      <c r="G80" t="s">
        <v>18</v>
      </c>
      <c r="H80" t="s">
        <v>32</v>
      </c>
      <c r="I80" t="s">
        <v>19</v>
      </c>
      <c r="J80">
        <v>9.44</v>
      </c>
      <c r="K80">
        <v>71</v>
      </c>
      <c r="L80" t="s">
        <v>34</v>
      </c>
      <c r="M80" t="str">
        <f t="shared" si="2"/>
        <v>Delayed</v>
      </c>
      <c r="N80" t="str">
        <f t="shared" si="3"/>
        <v>Delhi → Kolkata</v>
      </c>
    </row>
    <row r="81" spans="1:14">
      <c r="A81" s="1">
        <v>45320</v>
      </c>
      <c r="B81" t="s">
        <v>13</v>
      </c>
      <c r="C81" t="s">
        <v>116</v>
      </c>
      <c r="D81" t="s">
        <v>22</v>
      </c>
      <c r="E81" t="s">
        <v>16</v>
      </c>
      <c r="F81" t="s">
        <v>24</v>
      </c>
      <c r="G81" t="s">
        <v>37</v>
      </c>
      <c r="H81" t="s">
        <v>17</v>
      </c>
      <c r="I81" t="s">
        <v>33</v>
      </c>
      <c r="J81">
        <v>1.8</v>
      </c>
      <c r="K81">
        <v>117</v>
      </c>
      <c r="L81" t="s">
        <v>25</v>
      </c>
      <c r="M81" t="str">
        <f t="shared" si="2"/>
        <v>Delayed</v>
      </c>
      <c r="N81" t="str">
        <f t="shared" si="3"/>
        <v>Mumbai → Chennai</v>
      </c>
    </row>
    <row r="82" spans="1:14">
      <c r="A82" s="1">
        <v>45330</v>
      </c>
      <c r="B82" t="s">
        <v>45</v>
      </c>
      <c r="C82" t="s">
        <v>117</v>
      </c>
      <c r="D82" t="s">
        <v>40</v>
      </c>
      <c r="E82" t="s">
        <v>22</v>
      </c>
      <c r="F82" t="s">
        <v>28</v>
      </c>
      <c r="G82" t="s">
        <v>18</v>
      </c>
      <c r="H82" t="s">
        <v>24</v>
      </c>
      <c r="I82" t="s">
        <v>33</v>
      </c>
      <c r="J82">
        <v>11.92</v>
      </c>
      <c r="K82">
        <v>0</v>
      </c>
      <c r="L82" t="s">
        <v>20</v>
      </c>
      <c r="M82" t="str">
        <f t="shared" si="2"/>
        <v>On Time</v>
      </c>
      <c r="N82" t="str">
        <f t="shared" si="3"/>
        <v>Kolkata → Mumbai</v>
      </c>
    </row>
    <row r="83" spans="1:14">
      <c r="A83" s="1">
        <v>45321</v>
      </c>
      <c r="B83" t="s">
        <v>13</v>
      </c>
      <c r="C83" t="s">
        <v>118</v>
      </c>
      <c r="D83" t="s">
        <v>40</v>
      </c>
      <c r="E83" t="s">
        <v>22</v>
      </c>
      <c r="F83" t="s">
        <v>32</v>
      </c>
      <c r="G83" t="s">
        <v>37</v>
      </c>
      <c r="H83" t="s">
        <v>28</v>
      </c>
      <c r="I83" t="s">
        <v>33</v>
      </c>
      <c r="J83">
        <v>4.0599999999999996</v>
      </c>
      <c r="K83">
        <v>111</v>
      </c>
      <c r="L83" t="s">
        <v>52</v>
      </c>
      <c r="M83" t="str">
        <f t="shared" si="2"/>
        <v>Delayed</v>
      </c>
      <c r="N83" t="str">
        <f t="shared" si="3"/>
        <v>Kolkata → Mumbai</v>
      </c>
    </row>
    <row r="84" spans="1:14">
      <c r="A84" s="1">
        <v>45301</v>
      </c>
      <c r="B84" t="s">
        <v>38</v>
      </c>
      <c r="C84" t="s">
        <v>119</v>
      </c>
      <c r="D84" t="s">
        <v>22</v>
      </c>
      <c r="E84" t="s">
        <v>40</v>
      </c>
      <c r="F84" t="s">
        <v>24</v>
      </c>
      <c r="G84" t="s">
        <v>18</v>
      </c>
      <c r="H84" t="s">
        <v>17</v>
      </c>
      <c r="I84" t="s">
        <v>33</v>
      </c>
      <c r="J84">
        <v>11.31</v>
      </c>
      <c r="K84">
        <v>103</v>
      </c>
      <c r="L84" t="s">
        <v>52</v>
      </c>
      <c r="M84" t="str">
        <f t="shared" si="2"/>
        <v>Delayed</v>
      </c>
      <c r="N84" t="str">
        <f t="shared" si="3"/>
        <v>Mumbai → Kolkata</v>
      </c>
    </row>
    <row r="85" spans="1:14">
      <c r="A85" s="1">
        <v>45309</v>
      </c>
      <c r="B85" t="s">
        <v>13</v>
      </c>
      <c r="C85" t="s">
        <v>120</v>
      </c>
      <c r="D85" t="s">
        <v>23</v>
      </c>
      <c r="E85" t="s">
        <v>16</v>
      </c>
      <c r="F85" t="s">
        <v>24</v>
      </c>
      <c r="G85" t="s">
        <v>37</v>
      </c>
      <c r="H85" t="s">
        <v>24</v>
      </c>
      <c r="I85" t="s">
        <v>19</v>
      </c>
      <c r="J85">
        <v>4.99</v>
      </c>
      <c r="K85">
        <v>62</v>
      </c>
      <c r="L85" t="s">
        <v>52</v>
      </c>
      <c r="M85" t="str">
        <f t="shared" si="2"/>
        <v>Delayed</v>
      </c>
      <c r="N85" t="str">
        <f t="shared" si="3"/>
        <v>Bangalore → Chennai</v>
      </c>
    </row>
    <row r="86" spans="1:14">
      <c r="A86" s="1">
        <v>45326</v>
      </c>
      <c r="B86" t="s">
        <v>38</v>
      </c>
      <c r="C86" t="s">
        <v>121</v>
      </c>
      <c r="D86" t="s">
        <v>16</v>
      </c>
      <c r="E86" t="s">
        <v>23</v>
      </c>
      <c r="F86" t="s">
        <v>17</v>
      </c>
      <c r="G86" t="s">
        <v>37</v>
      </c>
      <c r="H86" t="s">
        <v>17</v>
      </c>
      <c r="I86" t="s">
        <v>19</v>
      </c>
      <c r="J86">
        <v>4.84</v>
      </c>
      <c r="K86">
        <v>114</v>
      </c>
      <c r="L86" t="s">
        <v>25</v>
      </c>
      <c r="M86" t="str">
        <f t="shared" si="2"/>
        <v>Delayed</v>
      </c>
      <c r="N86" t="str">
        <f t="shared" si="3"/>
        <v>Chennai → Bangalore</v>
      </c>
    </row>
    <row r="87" spans="1:14">
      <c r="A87" s="1">
        <v>45337</v>
      </c>
      <c r="B87" t="s">
        <v>38</v>
      </c>
      <c r="C87" t="s">
        <v>122</v>
      </c>
      <c r="D87" t="s">
        <v>16</v>
      </c>
      <c r="E87" t="s">
        <v>22</v>
      </c>
      <c r="F87" t="s">
        <v>32</v>
      </c>
      <c r="G87" t="s">
        <v>18</v>
      </c>
      <c r="H87" t="s">
        <v>31</v>
      </c>
      <c r="I87" t="s">
        <v>33</v>
      </c>
      <c r="J87">
        <v>10.68</v>
      </c>
      <c r="K87">
        <v>0</v>
      </c>
      <c r="L87" t="s">
        <v>20</v>
      </c>
      <c r="M87" t="str">
        <f t="shared" si="2"/>
        <v>On Time</v>
      </c>
      <c r="N87" t="str">
        <f t="shared" si="3"/>
        <v>Chennai → Mumbai</v>
      </c>
    </row>
    <row r="88" spans="1:14">
      <c r="A88" s="1">
        <v>45298</v>
      </c>
      <c r="B88" t="s">
        <v>35</v>
      </c>
      <c r="C88" t="s">
        <v>123</v>
      </c>
      <c r="D88" t="s">
        <v>16</v>
      </c>
      <c r="E88" t="s">
        <v>15</v>
      </c>
      <c r="F88" t="s">
        <v>17</v>
      </c>
      <c r="G88" t="s">
        <v>18</v>
      </c>
      <c r="H88" t="s">
        <v>32</v>
      </c>
      <c r="I88" t="s">
        <v>19</v>
      </c>
      <c r="J88">
        <v>8.0399999999999991</v>
      </c>
      <c r="K88">
        <v>65</v>
      </c>
      <c r="L88" t="s">
        <v>52</v>
      </c>
      <c r="M88" t="str">
        <f t="shared" si="2"/>
        <v>Delayed</v>
      </c>
      <c r="N88" t="str">
        <f t="shared" si="3"/>
        <v>Chennai → Delhi</v>
      </c>
    </row>
    <row r="89" spans="1:14">
      <c r="A89" s="1">
        <v>45333</v>
      </c>
      <c r="B89" t="s">
        <v>13</v>
      </c>
      <c r="C89" t="s">
        <v>124</v>
      </c>
      <c r="D89" t="s">
        <v>23</v>
      </c>
      <c r="E89" t="s">
        <v>40</v>
      </c>
      <c r="F89" t="s">
        <v>32</v>
      </c>
      <c r="G89" t="s">
        <v>37</v>
      </c>
      <c r="H89" t="s">
        <v>28</v>
      </c>
      <c r="I89" t="s">
        <v>19</v>
      </c>
      <c r="J89">
        <v>3.97</v>
      </c>
      <c r="K89">
        <v>0</v>
      </c>
      <c r="L89" t="s">
        <v>20</v>
      </c>
      <c r="M89" t="str">
        <f t="shared" si="2"/>
        <v>On Time</v>
      </c>
      <c r="N89" t="str">
        <f t="shared" si="3"/>
        <v>Bangalore → Kolkata</v>
      </c>
    </row>
    <row r="90" spans="1:14">
      <c r="A90" s="1">
        <v>45350</v>
      </c>
      <c r="B90" t="s">
        <v>29</v>
      </c>
      <c r="C90" t="s">
        <v>125</v>
      </c>
      <c r="D90" t="s">
        <v>22</v>
      </c>
      <c r="E90" t="s">
        <v>15</v>
      </c>
      <c r="F90" t="s">
        <v>32</v>
      </c>
      <c r="G90" t="s">
        <v>18</v>
      </c>
      <c r="H90" t="s">
        <v>31</v>
      </c>
      <c r="I90" t="s">
        <v>33</v>
      </c>
      <c r="J90">
        <v>1.98</v>
      </c>
      <c r="K90">
        <v>26</v>
      </c>
      <c r="L90" t="s">
        <v>25</v>
      </c>
      <c r="M90" t="str">
        <f t="shared" si="2"/>
        <v>Delayed</v>
      </c>
      <c r="N90" t="str">
        <f t="shared" si="3"/>
        <v>Mumbai → Delhi</v>
      </c>
    </row>
    <row r="91" spans="1:14">
      <c r="A91" s="1">
        <v>45295</v>
      </c>
      <c r="B91" t="s">
        <v>29</v>
      </c>
      <c r="C91" t="s">
        <v>126</v>
      </c>
      <c r="D91" t="s">
        <v>23</v>
      </c>
      <c r="E91" t="s">
        <v>16</v>
      </c>
      <c r="F91" t="s">
        <v>32</v>
      </c>
      <c r="G91" t="s">
        <v>18</v>
      </c>
      <c r="H91" t="s">
        <v>17</v>
      </c>
      <c r="I91" t="s">
        <v>33</v>
      </c>
      <c r="J91">
        <v>3.28</v>
      </c>
      <c r="K91">
        <v>0</v>
      </c>
      <c r="L91" t="s">
        <v>20</v>
      </c>
      <c r="M91" t="str">
        <f t="shared" si="2"/>
        <v>On Time</v>
      </c>
      <c r="N91" t="str">
        <f t="shared" si="3"/>
        <v>Bangalore → Chennai</v>
      </c>
    </row>
    <row r="92" spans="1:14">
      <c r="A92" s="1">
        <v>45331</v>
      </c>
      <c r="B92" t="s">
        <v>38</v>
      </c>
      <c r="C92" t="s">
        <v>127</v>
      </c>
      <c r="D92" t="s">
        <v>27</v>
      </c>
      <c r="E92" t="s">
        <v>22</v>
      </c>
      <c r="F92" t="s">
        <v>32</v>
      </c>
      <c r="G92" t="s">
        <v>18</v>
      </c>
      <c r="H92" t="s">
        <v>24</v>
      </c>
      <c r="I92" t="s">
        <v>19</v>
      </c>
      <c r="J92">
        <v>4.18</v>
      </c>
      <c r="K92">
        <v>64</v>
      </c>
      <c r="L92" t="s">
        <v>52</v>
      </c>
      <c r="M92" t="str">
        <f t="shared" si="2"/>
        <v>Delayed</v>
      </c>
      <c r="N92" t="str">
        <f t="shared" si="3"/>
        <v>Hyderabad → Mumbai</v>
      </c>
    </row>
    <row r="93" spans="1:14">
      <c r="A93" s="1">
        <v>45349</v>
      </c>
      <c r="B93" t="s">
        <v>38</v>
      </c>
      <c r="C93" t="s">
        <v>128</v>
      </c>
      <c r="D93" t="s">
        <v>23</v>
      </c>
      <c r="E93" t="s">
        <v>40</v>
      </c>
      <c r="F93" t="s">
        <v>17</v>
      </c>
      <c r="G93" t="s">
        <v>37</v>
      </c>
      <c r="H93" t="s">
        <v>31</v>
      </c>
      <c r="I93" t="s">
        <v>33</v>
      </c>
      <c r="J93">
        <v>11.6</v>
      </c>
      <c r="K93">
        <v>80</v>
      </c>
      <c r="L93" t="s">
        <v>34</v>
      </c>
      <c r="M93" t="str">
        <f t="shared" si="2"/>
        <v>Delayed</v>
      </c>
      <c r="N93" t="str">
        <f t="shared" si="3"/>
        <v>Bangalore → Kolkata</v>
      </c>
    </row>
    <row r="94" spans="1:14">
      <c r="A94" s="1">
        <v>45308</v>
      </c>
      <c r="B94" t="s">
        <v>38</v>
      </c>
      <c r="C94" t="s">
        <v>129</v>
      </c>
      <c r="D94" t="s">
        <v>23</v>
      </c>
      <c r="E94" t="s">
        <v>22</v>
      </c>
      <c r="F94" t="s">
        <v>32</v>
      </c>
      <c r="G94" t="s">
        <v>18</v>
      </c>
      <c r="H94" t="s">
        <v>32</v>
      </c>
      <c r="I94" t="s">
        <v>19</v>
      </c>
      <c r="J94">
        <v>4.6100000000000003</v>
      </c>
      <c r="K94">
        <v>53</v>
      </c>
      <c r="L94" t="s">
        <v>34</v>
      </c>
      <c r="M94" t="str">
        <f t="shared" si="2"/>
        <v>Delayed</v>
      </c>
      <c r="N94" t="str">
        <f t="shared" si="3"/>
        <v>Bangalore → Mumbai</v>
      </c>
    </row>
    <row r="95" spans="1:14">
      <c r="A95" s="1">
        <v>45310</v>
      </c>
      <c r="B95" t="s">
        <v>13</v>
      </c>
      <c r="C95" t="s">
        <v>130</v>
      </c>
      <c r="D95" t="s">
        <v>40</v>
      </c>
      <c r="E95" t="s">
        <v>16</v>
      </c>
      <c r="F95" t="s">
        <v>28</v>
      </c>
      <c r="G95" t="s">
        <v>18</v>
      </c>
      <c r="H95" t="s">
        <v>31</v>
      </c>
      <c r="I95" t="s">
        <v>33</v>
      </c>
      <c r="J95">
        <v>7.87</v>
      </c>
      <c r="K95">
        <v>111</v>
      </c>
      <c r="L95" t="s">
        <v>25</v>
      </c>
      <c r="M95" t="str">
        <f t="shared" si="2"/>
        <v>Delayed</v>
      </c>
      <c r="N95" t="str">
        <f t="shared" si="3"/>
        <v>Kolkata → Chennai</v>
      </c>
    </row>
    <row r="96" spans="1:14">
      <c r="A96" s="1">
        <v>45306</v>
      </c>
      <c r="B96" t="s">
        <v>45</v>
      </c>
      <c r="C96" t="s">
        <v>131</v>
      </c>
      <c r="D96" t="s">
        <v>27</v>
      </c>
      <c r="E96" t="s">
        <v>23</v>
      </c>
      <c r="F96" t="s">
        <v>17</v>
      </c>
      <c r="G96" t="s">
        <v>18</v>
      </c>
      <c r="H96" t="s">
        <v>31</v>
      </c>
      <c r="I96" t="s">
        <v>33</v>
      </c>
      <c r="J96">
        <v>7.59</v>
      </c>
      <c r="K96">
        <v>105</v>
      </c>
      <c r="L96" t="s">
        <v>25</v>
      </c>
      <c r="M96" t="str">
        <f t="shared" si="2"/>
        <v>Delayed</v>
      </c>
      <c r="N96" t="str">
        <f t="shared" si="3"/>
        <v>Hyderabad → Bangalore</v>
      </c>
    </row>
    <row r="97" spans="1:14">
      <c r="A97" s="1">
        <v>45300</v>
      </c>
      <c r="B97" t="s">
        <v>13</v>
      </c>
      <c r="C97" t="s">
        <v>132</v>
      </c>
      <c r="D97" t="s">
        <v>23</v>
      </c>
      <c r="E97" t="s">
        <v>16</v>
      </c>
      <c r="F97" t="s">
        <v>32</v>
      </c>
      <c r="G97" t="s">
        <v>18</v>
      </c>
      <c r="H97" t="s">
        <v>17</v>
      </c>
      <c r="I97" t="s">
        <v>19</v>
      </c>
      <c r="J97">
        <v>6.77</v>
      </c>
      <c r="K97">
        <v>105</v>
      </c>
      <c r="L97" t="s">
        <v>34</v>
      </c>
      <c r="M97" t="str">
        <f t="shared" si="2"/>
        <v>Delayed</v>
      </c>
      <c r="N97" t="str">
        <f t="shared" si="3"/>
        <v>Bangalore → Chennai</v>
      </c>
    </row>
    <row r="98" spans="1:14">
      <c r="A98" s="1">
        <v>45345</v>
      </c>
      <c r="B98" t="s">
        <v>45</v>
      </c>
      <c r="C98" t="s">
        <v>133</v>
      </c>
      <c r="D98" t="s">
        <v>23</v>
      </c>
      <c r="E98" t="s">
        <v>27</v>
      </c>
      <c r="F98" t="s">
        <v>28</v>
      </c>
      <c r="G98" t="s">
        <v>18</v>
      </c>
      <c r="H98" t="s">
        <v>28</v>
      </c>
      <c r="I98" t="s">
        <v>33</v>
      </c>
      <c r="J98">
        <v>9.42</v>
      </c>
      <c r="K98">
        <v>0</v>
      </c>
      <c r="L98" t="s">
        <v>20</v>
      </c>
      <c r="M98" t="str">
        <f t="shared" si="2"/>
        <v>On Time</v>
      </c>
      <c r="N98" t="str">
        <f t="shared" si="3"/>
        <v>Bangalore → Hyderabad</v>
      </c>
    </row>
    <row r="99" spans="1:14">
      <c r="A99" s="1">
        <v>45347</v>
      </c>
      <c r="B99" t="s">
        <v>38</v>
      </c>
      <c r="C99" t="s">
        <v>134</v>
      </c>
      <c r="D99" t="s">
        <v>27</v>
      </c>
      <c r="E99" t="s">
        <v>23</v>
      </c>
      <c r="F99" t="s">
        <v>31</v>
      </c>
      <c r="G99" t="s">
        <v>18</v>
      </c>
      <c r="H99" t="s">
        <v>32</v>
      </c>
      <c r="I99" t="s">
        <v>33</v>
      </c>
      <c r="J99">
        <v>6.28</v>
      </c>
      <c r="K99">
        <v>0</v>
      </c>
      <c r="L99" t="s">
        <v>20</v>
      </c>
      <c r="M99" t="str">
        <f t="shared" si="2"/>
        <v>On Time</v>
      </c>
      <c r="N99" t="str">
        <f t="shared" si="3"/>
        <v>Hyderabad → Bangalore</v>
      </c>
    </row>
    <row r="100" spans="1:14">
      <c r="A100" s="1">
        <v>45339</v>
      </c>
      <c r="B100" t="s">
        <v>29</v>
      </c>
      <c r="C100" t="s">
        <v>135</v>
      </c>
      <c r="D100" t="s">
        <v>27</v>
      </c>
      <c r="E100" t="s">
        <v>16</v>
      </c>
      <c r="F100" t="s">
        <v>28</v>
      </c>
      <c r="G100" t="s">
        <v>18</v>
      </c>
      <c r="H100" t="s">
        <v>31</v>
      </c>
      <c r="I100" t="s">
        <v>33</v>
      </c>
      <c r="J100">
        <v>3.82</v>
      </c>
      <c r="K100">
        <v>8</v>
      </c>
      <c r="L100" t="s">
        <v>34</v>
      </c>
      <c r="M100" t="str">
        <f t="shared" si="2"/>
        <v>Delayed</v>
      </c>
      <c r="N100" t="str">
        <f t="shared" si="3"/>
        <v>Hyderabad → Chennai</v>
      </c>
    </row>
    <row r="101" spans="1:14">
      <c r="A101" s="1">
        <v>45332</v>
      </c>
      <c r="B101" t="s">
        <v>38</v>
      </c>
      <c r="C101" t="s">
        <v>83</v>
      </c>
      <c r="D101" t="s">
        <v>40</v>
      </c>
      <c r="E101" t="s">
        <v>23</v>
      </c>
      <c r="F101" t="s">
        <v>32</v>
      </c>
      <c r="G101" t="s">
        <v>18</v>
      </c>
      <c r="H101" t="s">
        <v>31</v>
      </c>
      <c r="I101" t="s">
        <v>19</v>
      </c>
      <c r="J101">
        <v>2.72</v>
      </c>
      <c r="K101">
        <v>9</v>
      </c>
      <c r="L101" t="s">
        <v>52</v>
      </c>
      <c r="M101" t="str">
        <f t="shared" si="2"/>
        <v>Delayed</v>
      </c>
      <c r="N101" t="str">
        <f t="shared" si="3"/>
        <v>Kolkata → Bangalore</v>
      </c>
    </row>
    <row r="102" spans="1:14">
      <c r="A102" s="1">
        <v>45348</v>
      </c>
      <c r="B102" t="s">
        <v>35</v>
      </c>
      <c r="C102" t="s">
        <v>136</v>
      </c>
      <c r="D102" t="s">
        <v>22</v>
      </c>
      <c r="E102" t="s">
        <v>27</v>
      </c>
      <c r="F102" t="s">
        <v>32</v>
      </c>
      <c r="G102" t="s">
        <v>37</v>
      </c>
      <c r="H102" t="s">
        <v>28</v>
      </c>
      <c r="I102" t="s">
        <v>19</v>
      </c>
      <c r="J102">
        <v>2.54</v>
      </c>
      <c r="K102">
        <v>118</v>
      </c>
      <c r="L102" t="s">
        <v>34</v>
      </c>
      <c r="M102" t="str">
        <f t="shared" si="2"/>
        <v>Delayed</v>
      </c>
      <c r="N102" t="str">
        <f t="shared" si="3"/>
        <v>Mumbai → Hyderabad</v>
      </c>
    </row>
    <row r="103" spans="1:14">
      <c r="A103" s="1">
        <v>45331</v>
      </c>
      <c r="B103" t="s">
        <v>38</v>
      </c>
      <c r="C103" t="s">
        <v>137</v>
      </c>
      <c r="D103" t="s">
        <v>23</v>
      </c>
      <c r="E103" t="s">
        <v>15</v>
      </c>
      <c r="F103" t="s">
        <v>28</v>
      </c>
      <c r="G103" t="s">
        <v>37</v>
      </c>
      <c r="H103" t="s">
        <v>17</v>
      </c>
      <c r="I103" t="s">
        <v>33</v>
      </c>
      <c r="J103">
        <v>11.8</v>
      </c>
      <c r="K103">
        <v>35</v>
      </c>
      <c r="L103" t="s">
        <v>25</v>
      </c>
      <c r="M103" t="str">
        <f t="shared" si="2"/>
        <v>Delayed</v>
      </c>
      <c r="N103" t="str">
        <f t="shared" si="3"/>
        <v>Bangalore → Delhi</v>
      </c>
    </row>
    <row r="104" spans="1:14">
      <c r="A104" s="1">
        <v>45326</v>
      </c>
      <c r="B104" t="s">
        <v>29</v>
      </c>
      <c r="C104" t="s">
        <v>138</v>
      </c>
      <c r="D104" t="s">
        <v>15</v>
      </c>
      <c r="E104" t="s">
        <v>27</v>
      </c>
      <c r="F104" t="s">
        <v>28</v>
      </c>
      <c r="G104" t="s">
        <v>18</v>
      </c>
      <c r="H104" t="s">
        <v>17</v>
      </c>
      <c r="I104" t="s">
        <v>33</v>
      </c>
      <c r="J104">
        <v>8.24</v>
      </c>
      <c r="K104">
        <v>0</v>
      </c>
      <c r="L104" t="s">
        <v>20</v>
      </c>
      <c r="M104" t="str">
        <f t="shared" si="2"/>
        <v>On Time</v>
      </c>
      <c r="N104" t="str">
        <f t="shared" si="3"/>
        <v>Delhi → Hyderabad</v>
      </c>
    </row>
    <row r="105" spans="1:14">
      <c r="A105" s="1">
        <v>45293</v>
      </c>
      <c r="B105" t="s">
        <v>13</v>
      </c>
      <c r="C105" t="s">
        <v>139</v>
      </c>
      <c r="D105" t="s">
        <v>23</v>
      </c>
      <c r="E105" t="s">
        <v>22</v>
      </c>
      <c r="F105" t="s">
        <v>17</v>
      </c>
      <c r="G105" t="s">
        <v>18</v>
      </c>
      <c r="H105" t="s">
        <v>24</v>
      </c>
      <c r="I105" t="s">
        <v>19</v>
      </c>
      <c r="J105">
        <v>7.66</v>
      </c>
      <c r="K105">
        <v>0</v>
      </c>
      <c r="L105" t="s">
        <v>20</v>
      </c>
      <c r="M105" t="str">
        <f t="shared" si="2"/>
        <v>On Time</v>
      </c>
      <c r="N105" t="str">
        <f t="shared" si="3"/>
        <v>Bangalore → Mumbai</v>
      </c>
    </row>
    <row r="106" spans="1:14">
      <c r="A106" s="1">
        <v>45347</v>
      </c>
      <c r="B106" t="s">
        <v>45</v>
      </c>
      <c r="C106" t="s">
        <v>140</v>
      </c>
      <c r="D106" t="s">
        <v>23</v>
      </c>
      <c r="E106" t="s">
        <v>22</v>
      </c>
      <c r="F106" t="s">
        <v>24</v>
      </c>
      <c r="G106" t="s">
        <v>37</v>
      </c>
      <c r="H106" t="s">
        <v>31</v>
      </c>
      <c r="I106" t="s">
        <v>19</v>
      </c>
      <c r="J106">
        <v>2.65</v>
      </c>
      <c r="K106">
        <v>21</v>
      </c>
      <c r="L106" t="s">
        <v>25</v>
      </c>
      <c r="M106" t="str">
        <f t="shared" si="2"/>
        <v>Delayed</v>
      </c>
      <c r="N106" t="str">
        <f t="shared" si="3"/>
        <v>Bangalore → Mumbai</v>
      </c>
    </row>
    <row r="107" spans="1:14">
      <c r="A107" s="1">
        <v>45293</v>
      </c>
      <c r="B107" t="s">
        <v>45</v>
      </c>
      <c r="C107" t="s">
        <v>141</v>
      </c>
      <c r="D107" t="s">
        <v>15</v>
      </c>
      <c r="E107" t="s">
        <v>16</v>
      </c>
      <c r="F107" t="s">
        <v>17</v>
      </c>
      <c r="G107" t="s">
        <v>37</v>
      </c>
      <c r="H107" t="s">
        <v>24</v>
      </c>
      <c r="I107" t="s">
        <v>19</v>
      </c>
      <c r="J107">
        <v>2.83</v>
      </c>
      <c r="K107">
        <v>27</v>
      </c>
      <c r="L107" t="s">
        <v>25</v>
      </c>
      <c r="M107" t="str">
        <f t="shared" si="2"/>
        <v>Delayed</v>
      </c>
      <c r="N107" t="str">
        <f t="shared" si="3"/>
        <v>Delhi → Chennai</v>
      </c>
    </row>
    <row r="108" spans="1:14">
      <c r="A108" s="1">
        <v>45325</v>
      </c>
      <c r="B108" t="s">
        <v>13</v>
      </c>
      <c r="C108" t="s">
        <v>142</v>
      </c>
      <c r="D108" t="s">
        <v>40</v>
      </c>
      <c r="E108" t="s">
        <v>15</v>
      </c>
      <c r="F108" t="s">
        <v>32</v>
      </c>
      <c r="G108" t="s">
        <v>37</v>
      </c>
      <c r="H108" t="s">
        <v>32</v>
      </c>
      <c r="I108" t="s">
        <v>19</v>
      </c>
      <c r="J108">
        <v>11.43</v>
      </c>
      <c r="K108">
        <v>0</v>
      </c>
      <c r="L108" t="s">
        <v>20</v>
      </c>
      <c r="M108" t="str">
        <f t="shared" si="2"/>
        <v>On Time</v>
      </c>
      <c r="N108" t="str">
        <f t="shared" si="3"/>
        <v>Kolkata → Delhi</v>
      </c>
    </row>
    <row r="109" spans="1:14">
      <c r="A109" s="1">
        <v>45338</v>
      </c>
      <c r="B109" t="s">
        <v>35</v>
      </c>
      <c r="C109" t="s">
        <v>143</v>
      </c>
      <c r="D109" t="s">
        <v>23</v>
      </c>
      <c r="E109" t="s">
        <v>27</v>
      </c>
      <c r="F109" t="s">
        <v>31</v>
      </c>
      <c r="G109" t="s">
        <v>37</v>
      </c>
      <c r="H109" t="s">
        <v>31</v>
      </c>
      <c r="I109" t="s">
        <v>33</v>
      </c>
      <c r="J109">
        <v>6.65</v>
      </c>
      <c r="K109">
        <v>0</v>
      </c>
      <c r="L109" t="s">
        <v>20</v>
      </c>
      <c r="M109" t="str">
        <f t="shared" si="2"/>
        <v>On Time</v>
      </c>
      <c r="N109" t="str">
        <f t="shared" si="3"/>
        <v>Bangalore → Hyderabad</v>
      </c>
    </row>
    <row r="110" spans="1:14">
      <c r="A110" s="1">
        <v>45296</v>
      </c>
      <c r="B110" t="s">
        <v>13</v>
      </c>
      <c r="C110" t="s">
        <v>144</v>
      </c>
      <c r="D110" t="s">
        <v>23</v>
      </c>
      <c r="E110" t="s">
        <v>40</v>
      </c>
      <c r="F110" t="s">
        <v>17</v>
      </c>
      <c r="G110" t="s">
        <v>18</v>
      </c>
      <c r="H110" t="s">
        <v>31</v>
      </c>
      <c r="I110" t="s">
        <v>33</v>
      </c>
      <c r="J110">
        <v>11.94</v>
      </c>
      <c r="K110">
        <v>84</v>
      </c>
      <c r="L110" t="s">
        <v>52</v>
      </c>
      <c r="M110" t="str">
        <f t="shared" si="2"/>
        <v>Delayed</v>
      </c>
      <c r="N110" t="str">
        <f t="shared" si="3"/>
        <v>Bangalore → Kolkata</v>
      </c>
    </row>
    <row r="111" spans="1:14">
      <c r="A111" s="1">
        <v>45310</v>
      </c>
      <c r="B111" t="s">
        <v>38</v>
      </c>
      <c r="C111" t="s">
        <v>145</v>
      </c>
      <c r="D111" t="s">
        <v>27</v>
      </c>
      <c r="E111" t="s">
        <v>40</v>
      </c>
      <c r="F111" t="s">
        <v>32</v>
      </c>
      <c r="G111" t="s">
        <v>18</v>
      </c>
      <c r="H111" t="s">
        <v>31</v>
      </c>
      <c r="I111" t="s">
        <v>19</v>
      </c>
      <c r="J111">
        <v>5.85</v>
      </c>
      <c r="K111">
        <v>60</v>
      </c>
      <c r="L111" t="s">
        <v>25</v>
      </c>
      <c r="M111" t="str">
        <f t="shared" si="2"/>
        <v>Delayed</v>
      </c>
      <c r="N111" t="str">
        <f t="shared" si="3"/>
        <v>Hyderabad → Kolkata</v>
      </c>
    </row>
    <row r="112" spans="1:14">
      <c r="A112" s="1">
        <v>45321</v>
      </c>
      <c r="B112" t="s">
        <v>38</v>
      </c>
      <c r="C112" t="s">
        <v>146</v>
      </c>
      <c r="D112" t="s">
        <v>16</v>
      </c>
      <c r="E112" t="s">
        <v>15</v>
      </c>
      <c r="F112" t="s">
        <v>28</v>
      </c>
      <c r="G112" t="s">
        <v>37</v>
      </c>
      <c r="H112" t="s">
        <v>32</v>
      </c>
      <c r="I112" t="s">
        <v>33</v>
      </c>
      <c r="J112">
        <v>8.7100000000000009</v>
      </c>
      <c r="K112">
        <v>0</v>
      </c>
      <c r="L112" t="s">
        <v>20</v>
      </c>
      <c r="M112" t="str">
        <f t="shared" si="2"/>
        <v>On Time</v>
      </c>
      <c r="N112" t="str">
        <f t="shared" si="3"/>
        <v>Chennai → Delhi</v>
      </c>
    </row>
    <row r="113" spans="1:14">
      <c r="A113" s="1">
        <v>45296</v>
      </c>
      <c r="B113" t="s">
        <v>13</v>
      </c>
      <c r="C113" t="s">
        <v>147</v>
      </c>
      <c r="D113" t="s">
        <v>15</v>
      </c>
      <c r="E113" t="s">
        <v>22</v>
      </c>
      <c r="F113" t="s">
        <v>32</v>
      </c>
      <c r="G113" t="s">
        <v>37</v>
      </c>
      <c r="H113" t="s">
        <v>31</v>
      </c>
      <c r="I113" t="s">
        <v>19</v>
      </c>
      <c r="J113">
        <v>7.66</v>
      </c>
      <c r="K113">
        <v>0</v>
      </c>
      <c r="L113" t="s">
        <v>20</v>
      </c>
      <c r="M113" t="str">
        <f t="shared" si="2"/>
        <v>On Time</v>
      </c>
      <c r="N113" t="str">
        <f t="shared" si="3"/>
        <v>Delhi → Mumbai</v>
      </c>
    </row>
    <row r="114" spans="1:14">
      <c r="A114" s="1">
        <v>45327</v>
      </c>
      <c r="B114" t="s">
        <v>29</v>
      </c>
      <c r="C114" t="s">
        <v>148</v>
      </c>
      <c r="D114" t="s">
        <v>40</v>
      </c>
      <c r="E114" t="s">
        <v>15</v>
      </c>
      <c r="F114" t="s">
        <v>32</v>
      </c>
      <c r="G114" t="s">
        <v>37</v>
      </c>
      <c r="H114" t="s">
        <v>28</v>
      </c>
      <c r="I114" t="s">
        <v>19</v>
      </c>
      <c r="J114">
        <v>2.59</v>
      </c>
      <c r="K114">
        <v>41</v>
      </c>
      <c r="L114" t="s">
        <v>52</v>
      </c>
      <c r="M114" t="str">
        <f t="shared" si="2"/>
        <v>Delayed</v>
      </c>
      <c r="N114" t="str">
        <f t="shared" si="3"/>
        <v>Kolkata → Delhi</v>
      </c>
    </row>
    <row r="115" spans="1:14">
      <c r="A115" s="1">
        <v>45305</v>
      </c>
      <c r="B115" t="s">
        <v>45</v>
      </c>
      <c r="C115" t="s">
        <v>149</v>
      </c>
      <c r="D115" t="s">
        <v>40</v>
      </c>
      <c r="E115" t="s">
        <v>16</v>
      </c>
      <c r="F115" t="s">
        <v>17</v>
      </c>
      <c r="G115" t="s">
        <v>37</v>
      </c>
      <c r="H115" t="s">
        <v>31</v>
      </c>
      <c r="I115" t="s">
        <v>33</v>
      </c>
      <c r="J115">
        <v>3.87</v>
      </c>
      <c r="K115">
        <v>19</v>
      </c>
      <c r="L115" t="s">
        <v>34</v>
      </c>
      <c r="M115" t="str">
        <f t="shared" si="2"/>
        <v>Delayed</v>
      </c>
      <c r="N115" t="str">
        <f t="shared" si="3"/>
        <v>Kolkata → Chennai</v>
      </c>
    </row>
    <row r="116" spans="1:14">
      <c r="A116" s="1">
        <v>45346</v>
      </c>
      <c r="B116" t="s">
        <v>35</v>
      </c>
      <c r="C116" t="s">
        <v>150</v>
      </c>
      <c r="D116" t="s">
        <v>27</v>
      </c>
      <c r="E116" t="s">
        <v>40</v>
      </c>
      <c r="F116" t="s">
        <v>24</v>
      </c>
      <c r="G116" t="s">
        <v>37</v>
      </c>
      <c r="H116" t="s">
        <v>31</v>
      </c>
      <c r="I116" t="s">
        <v>19</v>
      </c>
      <c r="J116">
        <v>9.51</v>
      </c>
      <c r="K116">
        <v>28</v>
      </c>
      <c r="L116" t="s">
        <v>34</v>
      </c>
      <c r="M116" t="str">
        <f t="shared" si="2"/>
        <v>Delayed</v>
      </c>
      <c r="N116" t="str">
        <f t="shared" si="3"/>
        <v>Hyderabad → Kolkata</v>
      </c>
    </row>
    <row r="117" spans="1:14">
      <c r="A117" s="1">
        <v>45314</v>
      </c>
      <c r="B117" t="s">
        <v>13</v>
      </c>
      <c r="C117" t="s">
        <v>144</v>
      </c>
      <c r="D117" t="s">
        <v>22</v>
      </c>
      <c r="E117" t="s">
        <v>23</v>
      </c>
      <c r="F117" t="s">
        <v>24</v>
      </c>
      <c r="G117" t="s">
        <v>18</v>
      </c>
      <c r="H117" t="s">
        <v>32</v>
      </c>
      <c r="I117" t="s">
        <v>19</v>
      </c>
      <c r="J117">
        <v>2.46</v>
      </c>
      <c r="K117">
        <v>0</v>
      </c>
      <c r="L117" t="s">
        <v>20</v>
      </c>
      <c r="M117" t="str">
        <f t="shared" si="2"/>
        <v>On Time</v>
      </c>
      <c r="N117" t="str">
        <f t="shared" si="3"/>
        <v>Mumbai → Bangalore</v>
      </c>
    </row>
    <row r="118" spans="1:14">
      <c r="A118" s="1">
        <v>45305</v>
      </c>
      <c r="B118" t="s">
        <v>38</v>
      </c>
      <c r="C118" t="s">
        <v>151</v>
      </c>
      <c r="D118" t="s">
        <v>16</v>
      </c>
      <c r="E118" t="s">
        <v>27</v>
      </c>
      <c r="F118" t="s">
        <v>28</v>
      </c>
      <c r="G118" t="s">
        <v>37</v>
      </c>
      <c r="H118" t="s">
        <v>17</v>
      </c>
      <c r="I118" t="s">
        <v>33</v>
      </c>
      <c r="J118">
        <v>7.76</v>
      </c>
      <c r="K118">
        <v>97</v>
      </c>
      <c r="L118" t="s">
        <v>34</v>
      </c>
      <c r="M118" t="str">
        <f t="shared" si="2"/>
        <v>Delayed</v>
      </c>
      <c r="N118" t="str">
        <f t="shared" si="3"/>
        <v>Chennai → Hyderabad</v>
      </c>
    </row>
    <row r="119" spans="1:14">
      <c r="A119" s="1">
        <v>45301</v>
      </c>
      <c r="B119" t="s">
        <v>45</v>
      </c>
      <c r="C119" t="s">
        <v>152</v>
      </c>
      <c r="D119" t="s">
        <v>27</v>
      </c>
      <c r="E119" t="s">
        <v>15</v>
      </c>
      <c r="F119" t="s">
        <v>31</v>
      </c>
      <c r="G119" t="s">
        <v>37</v>
      </c>
      <c r="H119" t="s">
        <v>28</v>
      </c>
      <c r="I119" t="s">
        <v>33</v>
      </c>
      <c r="J119">
        <v>4.37</v>
      </c>
      <c r="K119">
        <v>67</v>
      </c>
      <c r="L119" t="s">
        <v>52</v>
      </c>
      <c r="M119" t="str">
        <f t="shared" si="2"/>
        <v>Delayed</v>
      </c>
      <c r="N119" t="str">
        <f t="shared" si="3"/>
        <v>Hyderabad → Delhi</v>
      </c>
    </row>
    <row r="120" spans="1:14">
      <c r="A120" s="1">
        <v>45324</v>
      </c>
      <c r="B120" t="s">
        <v>13</v>
      </c>
      <c r="C120" t="s">
        <v>153</v>
      </c>
      <c r="D120" t="s">
        <v>23</v>
      </c>
      <c r="E120" t="s">
        <v>27</v>
      </c>
      <c r="F120" t="s">
        <v>31</v>
      </c>
      <c r="G120" t="s">
        <v>37</v>
      </c>
      <c r="H120" t="s">
        <v>28</v>
      </c>
      <c r="I120" t="s">
        <v>33</v>
      </c>
      <c r="J120">
        <v>5.65</v>
      </c>
      <c r="K120">
        <v>0</v>
      </c>
      <c r="L120" t="s">
        <v>20</v>
      </c>
      <c r="M120" t="str">
        <f t="shared" si="2"/>
        <v>On Time</v>
      </c>
      <c r="N120" t="str">
        <f t="shared" si="3"/>
        <v>Bangalore → Hyderabad</v>
      </c>
    </row>
    <row r="121" spans="1:14">
      <c r="A121" s="1">
        <v>45295</v>
      </c>
      <c r="B121" t="s">
        <v>13</v>
      </c>
      <c r="C121" t="s">
        <v>154</v>
      </c>
      <c r="D121" t="s">
        <v>22</v>
      </c>
      <c r="E121" t="s">
        <v>16</v>
      </c>
      <c r="F121" t="s">
        <v>17</v>
      </c>
      <c r="G121" t="s">
        <v>37</v>
      </c>
      <c r="H121" t="s">
        <v>17</v>
      </c>
      <c r="I121" t="s">
        <v>33</v>
      </c>
      <c r="J121">
        <v>1.58</v>
      </c>
      <c r="K121">
        <v>0</v>
      </c>
      <c r="L121" t="s">
        <v>20</v>
      </c>
      <c r="M121" t="str">
        <f t="shared" si="2"/>
        <v>On Time</v>
      </c>
      <c r="N121" t="str">
        <f t="shared" si="3"/>
        <v>Mumbai → Chennai</v>
      </c>
    </row>
    <row r="122" spans="1:14">
      <c r="A122" s="1">
        <v>45319</v>
      </c>
      <c r="B122" t="s">
        <v>45</v>
      </c>
      <c r="C122" t="s">
        <v>155</v>
      </c>
      <c r="D122" t="s">
        <v>22</v>
      </c>
      <c r="E122" t="s">
        <v>27</v>
      </c>
      <c r="F122" t="s">
        <v>24</v>
      </c>
      <c r="G122" t="s">
        <v>37</v>
      </c>
      <c r="H122" t="s">
        <v>17</v>
      </c>
      <c r="I122" t="s">
        <v>19</v>
      </c>
      <c r="J122">
        <v>6.08</v>
      </c>
      <c r="K122">
        <v>0</v>
      </c>
      <c r="L122" t="s">
        <v>20</v>
      </c>
      <c r="M122" t="str">
        <f t="shared" si="2"/>
        <v>On Time</v>
      </c>
      <c r="N122" t="str">
        <f t="shared" si="3"/>
        <v>Mumbai → Hyderabad</v>
      </c>
    </row>
    <row r="123" spans="1:14">
      <c r="A123" s="1">
        <v>45350</v>
      </c>
      <c r="B123" t="s">
        <v>13</v>
      </c>
      <c r="C123" t="s">
        <v>156</v>
      </c>
      <c r="D123" t="s">
        <v>23</v>
      </c>
      <c r="E123" t="s">
        <v>40</v>
      </c>
      <c r="F123" t="s">
        <v>32</v>
      </c>
      <c r="G123" t="s">
        <v>37</v>
      </c>
      <c r="H123" t="s">
        <v>24</v>
      </c>
      <c r="I123" t="s">
        <v>33</v>
      </c>
      <c r="J123">
        <v>5.75</v>
      </c>
      <c r="K123">
        <v>0</v>
      </c>
      <c r="L123" t="s">
        <v>20</v>
      </c>
      <c r="M123" t="str">
        <f t="shared" si="2"/>
        <v>On Time</v>
      </c>
      <c r="N123" t="str">
        <f t="shared" si="3"/>
        <v>Bangalore → Kolkata</v>
      </c>
    </row>
    <row r="124" spans="1:14">
      <c r="A124" s="1">
        <v>45302</v>
      </c>
      <c r="B124" t="s">
        <v>35</v>
      </c>
      <c r="C124" t="s">
        <v>157</v>
      </c>
      <c r="D124" t="s">
        <v>16</v>
      </c>
      <c r="E124" t="s">
        <v>23</v>
      </c>
      <c r="F124" t="s">
        <v>31</v>
      </c>
      <c r="G124" t="s">
        <v>18</v>
      </c>
      <c r="H124" t="s">
        <v>32</v>
      </c>
      <c r="I124" t="s">
        <v>19</v>
      </c>
      <c r="J124">
        <v>2.33</v>
      </c>
      <c r="K124">
        <v>60</v>
      </c>
      <c r="L124" t="s">
        <v>34</v>
      </c>
      <c r="M124" t="str">
        <f t="shared" si="2"/>
        <v>Delayed</v>
      </c>
      <c r="N124" t="str">
        <f t="shared" si="3"/>
        <v>Chennai → Bangalore</v>
      </c>
    </row>
    <row r="125" spans="1:14">
      <c r="A125" s="1">
        <v>45311</v>
      </c>
      <c r="B125" t="s">
        <v>29</v>
      </c>
      <c r="C125" t="s">
        <v>158</v>
      </c>
      <c r="D125" t="s">
        <v>22</v>
      </c>
      <c r="E125" t="s">
        <v>16</v>
      </c>
      <c r="F125" t="s">
        <v>17</v>
      </c>
      <c r="G125" t="s">
        <v>18</v>
      </c>
      <c r="H125" t="s">
        <v>31</v>
      </c>
      <c r="I125" t="s">
        <v>19</v>
      </c>
      <c r="J125">
        <v>9.14</v>
      </c>
      <c r="K125">
        <v>120</v>
      </c>
      <c r="L125" t="s">
        <v>52</v>
      </c>
      <c r="M125" t="str">
        <f t="shared" si="2"/>
        <v>Delayed</v>
      </c>
      <c r="N125" t="str">
        <f t="shared" si="3"/>
        <v>Mumbai → Chennai</v>
      </c>
    </row>
    <row r="126" spans="1:14">
      <c r="A126" s="1">
        <v>45333</v>
      </c>
      <c r="B126" t="s">
        <v>45</v>
      </c>
      <c r="C126" t="s">
        <v>159</v>
      </c>
      <c r="D126" t="s">
        <v>22</v>
      </c>
      <c r="E126" t="s">
        <v>15</v>
      </c>
      <c r="F126" t="s">
        <v>17</v>
      </c>
      <c r="G126" t="s">
        <v>18</v>
      </c>
      <c r="H126" t="s">
        <v>28</v>
      </c>
      <c r="I126" t="s">
        <v>19</v>
      </c>
      <c r="J126">
        <v>9.48</v>
      </c>
      <c r="K126">
        <v>0</v>
      </c>
      <c r="L126" t="s">
        <v>20</v>
      </c>
      <c r="M126" t="str">
        <f t="shared" si="2"/>
        <v>On Time</v>
      </c>
      <c r="N126" t="str">
        <f t="shared" si="3"/>
        <v>Mumbai → Delhi</v>
      </c>
    </row>
    <row r="127" spans="1:14">
      <c r="A127" s="1">
        <v>45296</v>
      </c>
      <c r="B127" t="s">
        <v>45</v>
      </c>
      <c r="C127" t="s">
        <v>160</v>
      </c>
      <c r="D127" t="s">
        <v>40</v>
      </c>
      <c r="E127" t="s">
        <v>16</v>
      </c>
      <c r="F127" t="s">
        <v>32</v>
      </c>
      <c r="G127" t="s">
        <v>37</v>
      </c>
      <c r="H127" t="s">
        <v>24</v>
      </c>
      <c r="I127" t="s">
        <v>33</v>
      </c>
      <c r="J127">
        <v>6.12</v>
      </c>
      <c r="K127">
        <v>115</v>
      </c>
      <c r="L127" t="s">
        <v>25</v>
      </c>
      <c r="M127" t="str">
        <f t="shared" si="2"/>
        <v>Delayed</v>
      </c>
      <c r="N127" t="str">
        <f t="shared" si="3"/>
        <v>Kolkata → Chennai</v>
      </c>
    </row>
    <row r="128" spans="1:14">
      <c r="A128" s="1">
        <v>45320</v>
      </c>
      <c r="B128" t="s">
        <v>29</v>
      </c>
      <c r="C128" t="s">
        <v>161</v>
      </c>
      <c r="D128" t="s">
        <v>23</v>
      </c>
      <c r="E128" t="s">
        <v>40</v>
      </c>
      <c r="F128" t="s">
        <v>31</v>
      </c>
      <c r="G128" t="s">
        <v>18</v>
      </c>
      <c r="H128" t="s">
        <v>28</v>
      </c>
      <c r="I128" t="s">
        <v>33</v>
      </c>
      <c r="J128">
        <v>2.1</v>
      </c>
      <c r="K128">
        <v>64</v>
      </c>
      <c r="L128" t="s">
        <v>25</v>
      </c>
      <c r="M128" t="str">
        <f t="shared" si="2"/>
        <v>Delayed</v>
      </c>
      <c r="N128" t="str">
        <f t="shared" si="3"/>
        <v>Bangalore → Kolkata</v>
      </c>
    </row>
    <row r="129" spans="1:14">
      <c r="A129" s="1">
        <v>45310</v>
      </c>
      <c r="B129" t="s">
        <v>13</v>
      </c>
      <c r="C129" t="s">
        <v>162</v>
      </c>
      <c r="D129" t="s">
        <v>40</v>
      </c>
      <c r="E129" t="s">
        <v>15</v>
      </c>
      <c r="F129" t="s">
        <v>24</v>
      </c>
      <c r="G129" t="s">
        <v>37</v>
      </c>
      <c r="H129" t="s">
        <v>24</v>
      </c>
      <c r="I129" t="s">
        <v>33</v>
      </c>
      <c r="J129">
        <v>6.22</v>
      </c>
      <c r="K129">
        <v>0</v>
      </c>
      <c r="L129" t="s">
        <v>20</v>
      </c>
      <c r="M129" t="str">
        <f t="shared" si="2"/>
        <v>On Time</v>
      </c>
      <c r="N129" t="str">
        <f t="shared" si="3"/>
        <v>Kolkata → Delhi</v>
      </c>
    </row>
    <row r="130" spans="1:14">
      <c r="A130" s="1">
        <v>45328</v>
      </c>
      <c r="B130" t="s">
        <v>45</v>
      </c>
      <c r="C130" t="s">
        <v>163</v>
      </c>
      <c r="D130" t="s">
        <v>23</v>
      </c>
      <c r="E130" t="s">
        <v>40</v>
      </c>
      <c r="F130" t="s">
        <v>32</v>
      </c>
      <c r="G130" t="s">
        <v>18</v>
      </c>
      <c r="H130" t="s">
        <v>24</v>
      </c>
      <c r="I130" t="s">
        <v>19</v>
      </c>
      <c r="J130">
        <v>10.02</v>
      </c>
      <c r="K130">
        <v>0</v>
      </c>
      <c r="L130" t="s">
        <v>20</v>
      </c>
      <c r="M130" t="str">
        <f t="shared" ref="M130:M193" si="4">IF(K130=0,"On Time","Delayed")</f>
        <v>On Time</v>
      </c>
      <c r="N130" t="str">
        <f t="shared" ref="N130:N193" si="5">D130 &amp; " → " &amp; E130</f>
        <v>Bangalore → Kolkata</v>
      </c>
    </row>
    <row r="131" spans="1:14">
      <c r="A131" s="1">
        <v>45313</v>
      </c>
      <c r="B131" t="s">
        <v>13</v>
      </c>
      <c r="C131" t="s">
        <v>164</v>
      </c>
      <c r="D131" t="s">
        <v>27</v>
      </c>
      <c r="E131" t="s">
        <v>22</v>
      </c>
      <c r="F131" t="s">
        <v>31</v>
      </c>
      <c r="G131" t="s">
        <v>37</v>
      </c>
      <c r="H131" t="s">
        <v>17</v>
      </c>
      <c r="I131" t="s">
        <v>33</v>
      </c>
      <c r="J131">
        <v>5.32</v>
      </c>
      <c r="K131">
        <v>0</v>
      </c>
      <c r="L131" t="s">
        <v>20</v>
      </c>
      <c r="M131" t="str">
        <f t="shared" si="4"/>
        <v>On Time</v>
      </c>
      <c r="N131" t="str">
        <f t="shared" si="5"/>
        <v>Hyderabad → Mumbai</v>
      </c>
    </row>
    <row r="132" spans="1:14">
      <c r="A132" s="1">
        <v>45316</v>
      </c>
      <c r="B132" t="s">
        <v>38</v>
      </c>
      <c r="C132" t="s">
        <v>165</v>
      </c>
      <c r="D132" t="s">
        <v>23</v>
      </c>
      <c r="E132" t="s">
        <v>40</v>
      </c>
      <c r="F132" t="s">
        <v>31</v>
      </c>
      <c r="G132" t="s">
        <v>18</v>
      </c>
      <c r="H132" t="s">
        <v>28</v>
      </c>
      <c r="I132" t="s">
        <v>33</v>
      </c>
      <c r="J132">
        <v>4.1500000000000004</v>
      </c>
      <c r="K132">
        <v>17</v>
      </c>
      <c r="L132" t="s">
        <v>52</v>
      </c>
      <c r="M132" t="str">
        <f t="shared" si="4"/>
        <v>Delayed</v>
      </c>
      <c r="N132" t="str">
        <f t="shared" si="5"/>
        <v>Bangalore → Kolkata</v>
      </c>
    </row>
    <row r="133" spans="1:14">
      <c r="A133" s="1">
        <v>45334</v>
      </c>
      <c r="B133" t="s">
        <v>35</v>
      </c>
      <c r="C133" t="s">
        <v>78</v>
      </c>
      <c r="D133" t="s">
        <v>22</v>
      </c>
      <c r="E133" t="s">
        <v>16</v>
      </c>
      <c r="F133" t="s">
        <v>31</v>
      </c>
      <c r="G133" t="s">
        <v>18</v>
      </c>
      <c r="H133" t="s">
        <v>24</v>
      </c>
      <c r="I133" t="s">
        <v>33</v>
      </c>
      <c r="J133">
        <v>7.75</v>
      </c>
      <c r="K133">
        <v>44</v>
      </c>
      <c r="L133" t="s">
        <v>25</v>
      </c>
      <c r="M133" t="str">
        <f t="shared" si="4"/>
        <v>Delayed</v>
      </c>
      <c r="N133" t="str">
        <f t="shared" si="5"/>
        <v>Mumbai → Chennai</v>
      </c>
    </row>
    <row r="134" spans="1:14">
      <c r="A134" s="1">
        <v>45311</v>
      </c>
      <c r="B134" t="s">
        <v>35</v>
      </c>
      <c r="C134" t="s">
        <v>166</v>
      </c>
      <c r="D134" t="s">
        <v>16</v>
      </c>
      <c r="E134" t="s">
        <v>23</v>
      </c>
      <c r="F134" t="s">
        <v>17</v>
      </c>
      <c r="G134" t="s">
        <v>18</v>
      </c>
      <c r="H134" t="s">
        <v>24</v>
      </c>
      <c r="I134" t="s">
        <v>33</v>
      </c>
      <c r="J134">
        <v>5.31</v>
      </c>
      <c r="K134">
        <v>70</v>
      </c>
      <c r="L134" t="s">
        <v>25</v>
      </c>
      <c r="M134" t="str">
        <f t="shared" si="4"/>
        <v>Delayed</v>
      </c>
      <c r="N134" t="str">
        <f t="shared" si="5"/>
        <v>Chennai → Bangalore</v>
      </c>
    </row>
    <row r="135" spans="1:14">
      <c r="A135" s="1">
        <v>45352</v>
      </c>
      <c r="B135" t="s">
        <v>45</v>
      </c>
      <c r="C135" t="s">
        <v>167</v>
      </c>
      <c r="D135" t="s">
        <v>23</v>
      </c>
      <c r="E135" t="s">
        <v>27</v>
      </c>
      <c r="F135" t="s">
        <v>17</v>
      </c>
      <c r="G135" t="s">
        <v>18</v>
      </c>
      <c r="H135" t="s">
        <v>17</v>
      </c>
      <c r="I135" t="s">
        <v>19</v>
      </c>
      <c r="J135">
        <v>6.83</v>
      </c>
      <c r="K135">
        <v>14</v>
      </c>
      <c r="L135" t="s">
        <v>25</v>
      </c>
      <c r="M135" t="str">
        <f t="shared" si="4"/>
        <v>Delayed</v>
      </c>
      <c r="N135" t="str">
        <f t="shared" si="5"/>
        <v>Bangalore → Hyderabad</v>
      </c>
    </row>
    <row r="136" spans="1:14">
      <c r="A136" s="1">
        <v>45345</v>
      </c>
      <c r="B136" t="s">
        <v>35</v>
      </c>
      <c r="C136" t="s">
        <v>168</v>
      </c>
      <c r="D136" t="s">
        <v>15</v>
      </c>
      <c r="E136" t="s">
        <v>16</v>
      </c>
      <c r="F136" t="s">
        <v>24</v>
      </c>
      <c r="G136" t="s">
        <v>37</v>
      </c>
      <c r="H136" t="s">
        <v>17</v>
      </c>
      <c r="I136" t="s">
        <v>19</v>
      </c>
      <c r="J136">
        <v>10.23</v>
      </c>
      <c r="K136">
        <v>0</v>
      </c>
      <c r="L136" t="s">
        <v>20</v>
      </c>
      <c r="M136" t="str">
        <f t="shared" si="4"/>
        <v>On Time</v>
      </c>
      <c r="N136" t="str">
        <f t="shared" si="5"/>
        <v>Delhi → Chennai</v>
      </c>
    </row>
    <row r="137" spans="1:14">
      <c r="A137" s="1">
        <v>45331</v>
      </c>
      <c r="B137" t="s">
        <v>45</v>
      </c>
      <c r="C137" t="s">
        <v>169</v>
      </c>
      <c r="D137" t="s">
        <v>40</v>
      </c>
      <c r="E137" t="s">
        <v>16</v>
      </c>
      <c r="F137" t="s">
        <v>31</v>
      </c>
      <c r="G137" t="s">
        <v>37</v>
      </c>
      <c r="H137" t="s">
        <v>32</v>
      </c>
      <c r="I137" t="s">
        <v>19</v>
      </c>
      <c r="J137">
        <v>9.73</v>
      </c>
      <c r="K137">
        <v>61</v>
      </c>
      <c r="L137" t="s">
        <v>34</v>
      </c>
      <c r="M137" t="str">
        <f t="shared" si="4"/>
        <v>Delayed</v>
      </c>
      <c r="N137" t="str">
        <f t="shared" si="5"/>
        <v>Kolkata → Chennai</v>
      </c>
    </row>
    <row r="138" spans="1:14">
      <c r="A138" s="1">
        <v>45326</v>
      </c>
      <c r="B138" t="s">
        <v>45</v>
      </c>
      <c r="C138" t="s">
        <v>170</v>
      </c>
      <c r="D138" t="s">
        <v>23</v>
      </c>
      <c r="E138" t="s">
        <v>27</v>
      </c>
      <c r="F138" t="s">
        <v>17</v>
      </c>
      <c r="G138" t="s">
        <v>37</v>
      </c>
      <c r="H138" t="s">
        <v>28</v>
      </c>
      <c r="I138" t="s">
        <v>33</v>
      </c>
      <c r="J138">
        <v>6.78</v>
      </c>
      <c r="K138">
        <v>103</v>
      </c>
      <c r="L138" t="s">
        <v>52</v>
      </c>
      <c r="M138" t="str">
        <f t="shared" si="4"/>
        <v>Delayed</v>
      </c>
      <c r="N138" t="str">
        <f t="shared" si="5"/>
        <v>Bangalore → Hyderabad</v>
      </c>
    </row>
    <row r="139" spans="1:14">
      <c r="A139" s="1">
        <v>45302</v>
      </c>
      <c r="B139" t="s">
        <v>45</v>
      </c>
      <c r="C139" t="s">
        <v>171</v>
      </c>
      <c r="D139" t="s">
        <v>27</v>
      </c>
      <c r="E139" t="s">
        <v>22</v>
      </c>
      <c r="F139" t="s">
        <v>28</v>
      </c>
      <c r="G139" t="s">
        <v>37</v>
      </c>
      <c r="H139" t="s">
        <v>31</v>
      </c>
      <c r="I139" t="s">
        <v>33</v>
      </c>
      <c r="J139">
        <v>8.9700000000000006</v>
      </c>
      <c r="K139">
        <v>0</v>
      </c>
      <c r="L139" t="s">
        <v>20</v>
      </c>
      <c r="M139" t="str">
        <f t="shared" si="4"/>
        <v>On Time</v>
      </c>
      <c r="N139" t="str">
        <f t="shared" si="5"/>
        <v>Hyderabad → Mumbai</v>
      </c>
    </row>
    <row r="140" spans="1:14">
      <c r="A140" s="1">
        <v>45346</v>
      </c>
      <c r="B140" t="s">
        <v>13</v>
      </c>
      <c r="C140" t="s">
        <v>172</v>
      </c>
      <c r="D140" t="s">
        <v>23</v>
      </c>
      <c r="E140" t="s">
        <v>15</v>
      </c>
      <c r="F140" t="s">
        <v>17</v>
      </c>
      <c r="G140" t="s">
        <v>37</v>
      </c>
      <c r="H140" t="s">
        <v>28</v>
      </c>
      <c r="I140" t="s">
        <v>19</v>
      </c>
      <c r="J140">
        <v>11.44</v>
      </c>
      <c r="K140">
        <v>111</v>
      </c>
      <c r="L140" t="s">
        <v>25</v>
      </c>
      <c r="M140" t="str">
        <f t="shared" si="4"/>
        <v>Delayed</v>
      </c>
      <c r="N140" t="str">
        <f t="shared" si="5"/>
        <v>Bangalore → Delhi</v>
      </c>
    </row>
    <row r="141" spans="1:14">
      <c r="A141" s="1">
        <v>45344</v>
      </c>
      <c r="B141" t="s">
        <v>38</v>
      </c>
      <c r="C141" t="s">
        <v>173</v>
      </c>
      <c r="D141" t="s">
        <v>23</v>
      </c>
      <c r="E141" t="s">
        <v>15</v>
      </c>
      <c r="F141" t="s">
        <v>32</v>
      </c>
      <c r="G141" t="s">
        <v>37</v>
      </c>
      <c r="H141" t="s">
        <v>31</v>
      </c>
      <c r="I141" t="s">
        <v>33</v>
      </c>
      <c r="J141">
        <v>5.44</v>
      </c>
      <c r="K141">
        <v>35</v>
      </c>
      <c r="L141" t="s">
        <v>25</v>
      </c>
      <c r="M141" t="str">
        <f t="shared" si="4"/>
        <v>Delayed</v>
      </c>
      <c r="N141" t="str">
        <f t="shared" si="5"/>
        <v>Bangalore → Delhi</v>
      </c>
    </row>
    <row r="142" spans="1:14">
      <c r="A142" s="1">
        <v>45312</v>
      </c>
      <c r="B142" t="s">
        <v>13</v>
      </c>
      <c r="C142" t="s">
        <v>174</v>
      </c>
      <c r="D142" t="s">
        <v>40</v>
      </c>
      <c r="E142" t="s">
        <v>23</v>
      </c>
      <c r="F142" t="s">
        <v>17</v>
      </c>
      <c r="G142" t="s">
        <v>18</v>
      </c>
      <c r="H142" t="s">
        <v>17</v>
      </c>
      <c r="I142" t="s">
        <v>33</v>
      </c>
      <c r="J142">
        <v>10.23</v>
      </c>
      <c r="K142">
        <v>111</v>
      </c>
      <c r="L142" t="s">
        <v>34</v>
      </c>
      <c r="M142" t="str">
        <f t="shared" si="4"/>
        <v>Delayed</v>
      </c>
      <c r="N142" t="str">
        <f t="shared" si="5"/>
        <v>Kolkata → Bangalore</v>
      </c>
    </row>
    <row r="143" spans="1:14">
      <c r="A143" s="1">
        <v>45337</v>
      </c>
      <c r="B143" t="s">
        <v>38</v>
      </c>
      <c r="C143" t="s">
        <v>175</v>
      </c>
      <c r="D143" t="s">
        <v>16</v>
      </c>
      <c r="E143" t="s">
        <v>40</v>
      </c>
      <c r="F143" t="s">
        <v>31</v>
      </c>
      <c r="G143" t="s">
        <v>18</v>
      </c>
      <c r="H143" t="s">
        <v>31</v>
      </c>
      <c r="I143" t="s">
        <v>33</v>
      </c>
      <c r="J143">
        <v>7.26</v>
      </c>
      <c r="K143">
        <v>0</v>
      </c>
      <c r="L143" t="s">
        <v>20</v>
      </c>
      <c r="M143" t="str">
        <f t="shared" si="4"/>
        <v>On Time</v>
      </c>
      <c r="N143" t="str">
        <f t="shared" si="5"/>
        <v>Chennai → Kolkata</v>
      </c>
    </row>
    <row r="144" spans="1:14">
      <c r="A144" s="1">
        <v>45330</v>
      </c>
      <c r="B144" t="s">
        <v>35</v>
      </c>
      <c r="C144" t="s">
        <v>176</v>
      </c>
      <c r="D144" t="s">
        <v>16</v>
      </c>
      <c r="E144" t="s">
        <v>15</v>
      </c>
      <c r="F144" t="s">
        <v>28</v>
      </c>
      <c r="G144" t="s">
        <v>37</v>
      </c>
      <c r="H144" t="s">
        <v>17</v>
      </c>
      <c r="I144" t="s">
        <v>19</v>
      </c>
      <c r="J144">
        <v>5.91</v>
      </c>
      <c r="K144">
        <v>0</v>
      </c>
      <c r="L144" t="s">
        <v>20</v>
      </c>
      <c r="M144" t="str">
        <f t="shared" si="4"/>
        <v>On Time</v>
      </c>
      <c r="N144" t="str">
        <f t="shared" si="5"/>
        <v>Chennai → Delhi</v>
      </c>
    </row>
    <row r="145" spans="1:14">
      <c r="A145" s="1">
        <v>45331</v>
      </c>
      <c r="B145" t="s">
        <v>38</v>
      </c>
      <c r="C145" t="s">
        <v>177</v>
      </c>
      <c r="D145" t="s">
        <v>15</v>
      </c>
      <c r="E145" t="s">
        <v>22</v>
      </c>
      <c r="F145" t="s">
        <v>32</v>
      </c>
      <c r="G145" t="s">
        <v>18</v>
      </c>
      <c r="H145" t="s">
        <v>24</v>
      </c>
      <c r="I145" t="s">
        <v>19</v>
      </c>
      <c r="J145">
        <v>4.5599999999999996</v>
      </c>
      <c r="K145">
        <v>0</v>
      </c>
      <c r="L145" t="s">
        <v>20</v>
      </c>
      <c r="M145" t="str">
        <f t="shared" si="4"/>
        <v>On Time</v>
      </c>
      <c r="N145" t="str">
        <f t="shared" si="5"/>
        <v>Delhi → Mumbai</v>
      </c>
    </row>
    <row r="146" spans="1:14">
      <c r="A146" s="1">
        <v>45331</v>
      </c>
      <c r="B146" t="s">
        <v>29</v>
      </c>
      <c r="C146" t="s">
        <v>178</v>
      </c>
      <c r="D146" t="s">
        <v>22</v>
      </c>
      <c r="E146" t="s">
        <v>40</v>
      </c>
      <c r="F146" t="s">
        <v>32</v>
      </c>
      <c r="G146" t="s">
        <v>18</v>
      </c>
      <c r="H146" t="s">
        <v>17</v>
      </c>
      <c r="I146" t="s">
        <v>33</v>
      </c>
      <c r="J146">
        <v>5.6</v>
      </c>
      <c r="K146">
        <v>0</v>
      </c>
      <c r="L146" t="s">
        <v>20</v>
      </c>
      <c r="M146" t="str">
        <f t="shared" si="4"/>
        <v>On Time</v>
      </c>
      <c r="N146" t="str">
        <f t="shared" si="5"/>
        <v>Mumbai → Kolkata</v>
      </c>
    </row>
    <row r="147" spans="1:14">
      <c r="A147" s="1">
        <v>45294</v>
      </c>
      <c r="B147" t="s">
        <v>38</v>
      </c>
      <c r="C147" t="s">
        <v>179</v>
      </c>
      <c r="D147" t="s">
        <v>23</v>
      </c>
      <c r="E147" t="s">
        <v>16</v>
      </c>
      <c r="F147" t="s">
        <v>31</v>
      </c>
      <c r="G147" t="s">
        <v>18</v>
      </c>
      <c r="H147" t="s">
        <v>28</v>
      </c>
      <c r="I147" t="s">
        <v>33</v>
      </c>
      <c r="J147">
        <v>9.6</v>
      </c>
      <c r="K147">
        <v>0</v>
      </c>
      <c r="L147" t="s">
        <v>20</v>
      </c>
      <c r="M147" t="str">
        <f t="shared" si="4"/>
        <v>On Time</v>
      </c>
      <c r="N147" t="str">
        <f t="shared" si="5"/>
        <v>Bangalore → Chennai</v>
      </c>
    </row>
    <row r="148" spans="1:14">
      <c r="A148" s="1">
        <v>45340</v>
      </c>
      <c r="B148" t="s">
        <v>29</v>
      </c>
      <c r="C148" t="s">
        <v>180</v>
      </c>
      <c r="D148" t="s">
        <v>22</v>
      </c>
      <c r="E148" t="s">
        <v>15</v>
      </c>
      <c r="F148" t="s">
        <v>28</v>
      </c>
      <c r="G148" t="s">
        <v>37</v>
      </c>
      <c r="H148" t="s">
        <v>24</v>
      </c>
      <c r="I148" t="s">
        <v>19</v>
      </c>
      <c r="J148">
        <v>6.52</v>
      </c>
      <c r="K148">
        <v>111</v>
      </c>
      <c r="L148" t="s">
        <v>34</v>
      </c>
      <c r="M148" t="str">
        <f t="shared" si="4"/>
        <v>Delayed</v>
      </c>
      <c r="N148" t="str">
        <f t="shared" si="5"/>
        <v>Mumbai → Delhi</v>
      </c>
    </row>
    <row r="149" spans="1:14">
      <c r="A149" s="1">
        <v>45343</v>
      </c>
      <c r="B149" t="s">
        <v>45</v>
      </c>
      <c r="C149" t="s">
        <v>181</v>
      </c>
      <c r="D149" t="s">
        <v>15</v>
      </c>
      <c r="E149" t="s">
        <v>27</v>
      </c>
      <c r="F149" t="s">
        <v>31</v>
      </c>
      <c r="G149" t="s">
        <v>18</v>
      </c>
      <c r="H149" t="s">
        <v>28</v>
      </c>
      <c r="I149" t="s">
        <v>19</v>
      </c>
      <c r="J149">
        <v>10.8</v>
      </c>
      <c r="K149">
        <v>0</v>
      </c>
      <c r="L149" t="s">
        <v>20</v>
      </c>
      <c r="M149" t="str">
        <f t="shared" si="4"/>
        <v>On Time</v>
      </c>
      <c r="N149" t="str">
        <f t="shared" si="5"/>
        <v>Delhi → Hyderabad</v>
      </c>
    </row>
    <row r="150" spans="1:14">
      <c r="A150" s="1">
        <v>45351</v>
      </c>
      <c r="B150" t="s">
        <v>29</v>
      </c>
      <c r="C150" t="s">
        <v>30</v>
      </c>
      <c r="D150" t="s">
        <v>27</v>
      </c>
      <c r="E150" t="s">
        <v>16</v>
      </c>
      <c r="F150" t="s">
        <v>24</v>
      </c>
      <c r="G150" t="s">
        <v>37</v>
      </c>
      <c r="H150" t="s">
        <v>32</v>
      </c>
      <c r="I150" t="s">
        <v>19</v>
      </c>
      <c r="J150">
        <v>4.5</v>
      </c>
      <c r="K150">
        <v>0</v>
      </c>
      <c r="L150" t="s">
        <v>20</v>
      </c>
      <c r="M150" t="str">
        <f t="shared" si="4"/>
        <v>On Time</v>
      </c>
      <c r="N150" t="str">
        <f t="shared" si="5"/>
        <v>Hyderabad → Chennai</v>
      </c>
    </row>
    <row r="151" spans="1:14">
      <c r="A151" s="1">
        <v>45341</v>
      </c>
      <c r="B151" t="s">
        <v>13</v>
      </c>
      <c r="C151" t="s">
        <v>182</v>
      </c>
      <c r="D151" t="s">
        <v>40</v>
      </c>
      <c r="E151" t="s">
        <v>23</v>
      </c>
      <c r="F151" t="s">
        <v>28</v>
      </c>
      <c r="G151" t="s">
        <v>37</v>
      </c>
      <c r="H151" t="s">
        <v>31</v>
      </c>
      <c r="I151" t="s">
        <v>33</v>
      </c>
      <c r="J151">
        <v>6.12</v>
      </c>
      <c r="K151">
        <v>118</v>
      </c>
      <c r="L151" t="s">
        <v>34</v>
      </c>
      <c r="M151" t="str">
        <f t="shared" si="4"/>
        <v>Delayed</v>
      </c>
      <c r="N151" t="str">
        <f t="shared" si="5"/>
        <v>Kolkata → Bangalore</v>
      </c>
    </row>
    <row r="152" spans="1:14">
      <c r="A152" s="1">
        <v>45313</v>
      </c>
      <c r="B152" t="s">
        <v>45</v>
      </c>
      <c r="C152" t="s">
        <v>94</v>
      </c>
      <c r="D152" t="s">
        <v>16</v>
      </c>
      <c r="E152" t="s">
        <v>27</v>
      </c>
      <c r="F152" t="s">
        <v>28</v>
      </c>
      <c r="G152" t="s">
        <v>37</v>
      </c>
      <c r="H152" t="s">
        <v>24</v>
      </c>
      <c r="I152" t="s">
        <v>19</v>
      </c>
      <c r="J152">
        <v>6.02</v>
      </c>
      <c r="K152">
        <v>98</v>
      </c>
      <c r="L152" t="s">
        <v>25</v>
      </c>
      <c r="M152" t="str">
        <f t="shared" si="4"/>
        <v>Delayed</v>
      </c>
      <c r="N152" t="str">
        <f t="shared" si="5"/>
        <v>Chennai → Hyderabad</v>
      </c>
    </row>
    <row r="153" spans="1:14">
      <c r="A153" s="1">
        <v>45303</v>
      </c>
      <c r="B153" t="s">
        <v>35</v>
      </c>
      <c r="C153" t="s">
        <v>183</v>
      </c>
      <c r="D153" t="s">
        <v>23</v>
      </c>
      <c r="E153" t="s">
        <v>16</v>
      </c>
      <c r="F153" t="s">
        <v>31</v>
      </c>
      <c r="G153" t="s">
        <v>37</v>
      </c>
      <c r="H153" t="s">
        <v>31</v>
      </c>
      <c r="I153" t="s">
        <v>33</v>
      </c>
      <c r="J153">
        <v>9.0399999999999991</v>
      </c>
      <c r="K153">
        <v>44</v>
      </c>
      <c r="L153" t="s">
        <v>34</v>
      </c>
      <c r="M153" t="str">
        <f t="shared" si="4"/>
        <v>Delayed</v>
      </c>
      <c r="N153" t="str">
        <f t="shared" si="5"/>
        <v>Bangalore → Chennai</v>
      </c>
    </row>
    <row r="154" spans="1:14">
      <c r="A154" s="1">
        <v>45336</v>
      </c>
      <c r="B154" t="s">
        <v>38</v>
      </c>
      <c r="C154" t="s">
        <v>184</v>
      </c>
      <c r="D154" t="s">
        <v>23</v>
      </c>
      <c r="E154" t="s">
        <v>27</v>
      </c>
      <c r="F154" t="s">
        <v>31</v>
      </c>
      <c r="G154" t="s">
        <v>37</v>
      </c>
      <c r="H154" t="s">
        <v>28</v>
      </c>
      <c r="I154" t="s">
        <v>33</v>
      </c>
      <c r="J154">
        <v>2.29</v>
      </c>
      <c r="K154">
        <v>0</v>
      </c>
      <c r="L154" t="s">
        <v>20</v>
      </c>
      <c r="M154" t="str">
        <f t="shared" si="4"/>
        <v>On Time</v>
      </c>
      <c r="N154" t="str">
        <f t="shared" si="5"/>
        <v>Bangalore → Hyderabad</v>
      </c>
    </row>
    <row r="155" spans="1:14">
      <c r="A155" s="1">
        <v>45317</v>
      </c>
      <c r="B155" t="s">
        <v>29</v>
      </c>
      <c r="C155" t="s">
        <v>185</v>
      </c>
      <c r="D155" t="s">
        <v>27</v>
      </c>
      <c r="E155" t="s">
        <v>22</v>
      </c>
      <c r="F155" t="s">
        <v>31</v>
      </c>
      <c r="G155" t="s">
        <v>37</v>
      </c>
      <c r="H155" t="s">
        <v>17</v>
      </c>
      <c r="I155" t="s">
        <v>19</v>
      </c>
      <c r="J155">
        <v>3.98</v>
      </c>
      <c r="K155">
        <v>0</v>
      </c>
      <c r="L155" t="s">
        <v>20</v>
      </c>
      <c r="M155" t="str">
        <f t="shared" si="4"/>
        <v>On Time</v>
      </c>
      <c r="N155" t="str">
        <f t="shared" si="5"/>
        <v>Hyderabad → Mumbai</v>
      </c>
    </row>
    <row r="156" spans="1:14">
      <c r="A156" s="1">
        <v>45315</v>
      </c>
      <c r="B156" t="s">
        <v>29</v>
      </c>
      <c r="C156" t="s">
        <v>186</v>
      </c>
      <c r="D156" t="s">
        <v>16</v>
      </c>
      <c r="E156" t="s">
        <v>40</v>
      </c>
      <c r="F156" t="s">
        <v>31</v>
      </c>
      <c r="G156" t="s">
        <v>18</v>
      </c>
      <c r="H156" t="s">
        <v>24</v>
      </c>
      <c r="I156" t="s">
        <v>33</v>
      </c>
      <c r="J156">
        <v>9.51</v>
      </c>
      <c r="K156">
        <v>52</v>
      </c>
      <c r="L156" t="s">
        <v>52</v>
      </c>
      <c r="M156" t="str">
        <f t="shared" si="4"/>
        <v>Delayed</v>
      </c>
      <c r="N156" t="str">
        <f t="shared" si="5"/>
        <v>Chennai → Kolkata</v>
      </c>
    </row>
    <row r="157" spans="1:14">
      <c r="A157" s="1">
        <v>45300</v>
      </c>
      <c r="B157" t="s">
        <v>35</v>
      </c>
      <c r="C157" t="s">
        <v>187</v>
      </c>
      <c r="D157" t="s">
        <v>23</v>
      </c>
      <c r="E157" t="s">
        <v>27</v>
      </c>
      <c r="F157" t="s">
        <v>28</v>
      </c>
      <c r="G157" t="s">
        <v>18</v>
      </c>
      <c r="H157" t="s">
        <v>28</v>
      </c>
      <c r="I157" t="s">
        <v>19</v>
      </c>
      <c r="J157">
        <v>6.74</v>
      </c>
      <c r="K157">
        <v>0</v>
      </c>
      <c r="L157" t="s">
        <v>20</v>
      </c>
      <c r="M157" t="str">
        <f t="shared" si="4"/>
        <v>On Time</v>
      </c>
      <c r="N157" t="str">
        <f t="shared" si="5"/>
        <v>Bangalore → Hyderabad</v>
      </c>
    </row>
    <row r="158" spans="1:14">
      <c r="A158" s="1">
        <v>45350</v>
      </c>
      <c r="B158" t="s">
        <v>35</v>
      </c>
      <c r="C158" t="s">
        <v>188</v>
      </c>
      <c r="D158" t="s">
        <v>15</v>
      </c>
      <c r="E158" t="s">
        <v>16</v>
      </c>
      <c r="F158" t="s">
        <v>28</v>
      </c>
      <c r="G158" t="s">
        <v>18</v>
      </c>
      <c r="H158" t="s">
        <v>32</v>
      </c>
      <c r="I158" t="s">
        <v>33</v>
      </c>
      <c r="J158">
        <v>2.79</v>
      </c>
      <c r="K158">
        <v>93</v>
      </c>
      <c r="L158" t="s">
        <v>25</v>
      </c>
      <c r="M158" t="str">
        <f t="shared" si="4"/>
        <v>Delayed</v>
      </c>
      <c r="N158" t="str">
        <f t="shared" si="5"/>
        <v>Delhi → Chennai</v>
      </c>
    </row>
    <row r="159" spans="1:14">
      <c r="A159" s="1">
        <v>45296</v>
      </c>
      <c r="B159" t="s">
        <v>38</v>
      </c>
      <c r="C159" t="s">
        <v>189</v>
      </c>
      <c r="D159" t="s">
        <v>22</v>
      </c>
      <c r="E159" t="s">
        <v>27</v>
      </c>
      <c r="F159" t="s">
        <v>31</v>
      </c>
      <c r="G159" t="s">
        <v>37</v>
      </c>
      <c r="H159" t="s">
        <v>28</v>
      </c>
      <c r="I159" t="s">
        <v>19</v>
      </c>
      <c r="J159">
        <v>10.44</v>
      </c>
      <c r="K159">
        <v>75</v>
      </c>
      <c r="L159" t="s">
        <v>52</v>
      </c>
      <c r="M159" t="str">
        <f t="shared" si="4"/>
        <v>Delayed</v>
      </c>
      <c r="N159" t="str">
        <f t="shared" si="5"/>
        <v>Mumbai → Hyderabad</v>
      </c>
    </row>
    <row r="160" spans="1:14">
      <c r="A160" s="1">
        <v>45337</v>
      </c>
      <c r="B160" t="s">
        <v>45</v>
      </c>
      <c r="C160" t="s">
        <v>190</v>
      </c>
      <c r="D160" t="s">
        <v>23</v>
      </c>
      <c r="E160" t="s">
        <v>40</v>
      </c>
      <c r="F160" t="s">
        <v>17</v>
      </c>
      <c r="G160" t="s">
        <v>18</v>
      </c>
      <c r="H160" t="s">
        <v>31</v>
      </c>
      <c r="I160" t="s">
        <v>19</v>
      </c>
      <c r="J160">
        <v>5.29</v>
      </c>
      <c r="K160">
        <v>35</v>
      </c>
      <c r="L160" t="s">
        <v>25</v>
      </c>
      <c r="M160" t="str">
        <f t="shared" si="4"/>
        <v>Delayed</v>
      </c>
      <c r="N160" t="str">
        <f t="shared" si="5"/>
        <v>Bangalore → Kolkata</v>
      </c>
    </row>
    <row r="161" spans="1:14">
      <c r="A161" s="1">
        <v>45315</v>
      </c>
      <c r="B161" t="s">
        <v>38</v>
      </c>
      <c r="C161" t="s">
        <v>191</v>
      </c>
      <c r="D161" t="s">
        <v>27</v>
      </c>
      <c r="E161" t="s">
        <v>22</v>
      </c>
      <c r="F161" t="s">
        <v>24</v>
      </c>
      <c r="G161" t="s">
        <v>18</v>
      </c>
      <c r="H161" t="s">
        <v>31</v>
      </c>
      <c r="I161" t="s">
        <v>33</v>
      </c>
      <c r="J161">
        <v>5.81</v>
      </c>
      <c r="K161">
        <v>55</v>
      </c>
      <c r="L161" t="s">
        <v>34</v>
      </c>
      <c r="M161" t="str">
        <f t="shared" si="4"/>
        <v>Delayed</v>
      </c>
      <c r="N161" t="str">
        <f t="shared" si="5"/>
        <v>Hyderabad → Mumbai</v>
      </c>
    </row>
    <row r="162" spans="1:14">
      <c r="A162" s="1">
        <v>45344</v>
      </c>
      <c r="B162" t="s">
        <v>35</v>
      </c>
      <c r="C162" t="s">
        <v>192</v>
      </c>
      <c r="D162" t="s">
        <v>15</v>
      </c>
      <c r="E162" t="s">
        <v>23</v>
      </c>
      <c r="F162" t="s">
        <v>28</v>
      </c>
      <c r="G162" t="s">
        <v>37</v>
      </c>
      <c r="H162" t="s">
        <v>31</v>
      </c>
      <c r="I162" t="s">
        <v>33</v>
      </c>
      <c r="J162">
        <v>10.72</v>
      </c>
      <c r="K162">
        <v>92</v>
      </c>
      <c r="L162" t="s">
        <v>25</v>
      </c>
      <c r="M162" t="str">
        <f t="shared" si="4"/>
        <v>Delayed</v>
      </c>
      <c r="N162" t="str">
        <f t="shared" si="5"/>
        <v>Delhi → Bangalore</v>
      </c>
    </row>
    <row r="163" spans="1:14">
      <c r="A163" s="1">
        <v>45327</v>
      </c>
      <c r="B163" t="s">
        <v>35</v>
      </c>
      <c r="C163" t="s">
        <v>193</v>
      </c>
      <c r="D163" t="s">
        <v>22</v>
      </c>
      <c r="E163" t="s">
        <v>23</v>
      </c>
      <c r="F163" t="s">
        <v>32</v>
      </c>
      <c r="G163" t="s">
        <v>18</v>
      </c>
      <c r="H163" t="s">
        <v>24</v>
      </c>
      <c r="I163" t="s">
        <v>19</v>
      </c>
      <c r="J163">
        <v>4.6900000000000004</v>
      </c>
      <c r="K163">
        <v>0</v>
      </c>
      <c r="L163" t="s">
        <v>20</v>
      </c>
      <c r="M163" t="str">
        <f t="shared" si="4"/>
        <v>On Time</v>
      </c>
      <c r="N163" t="str">
        <f t="shared" si="5"/>
        <v>Mumbai → Bangalore</v>
      </c>
    </row>
    <row r="164" spans="1:14">
      <c r="A164" s="1">
        <v>45312</v>
      </c>
      <c r="B164" t="s">
        <v>45</v>
      </c>
      <c r="C164" t="s">
        <v>194</v>
      </c>
      <c r="D164" t="s">
        <v>23</v>
      </c>
      <c r="E164" t="s">
        <v>40</v>
      </c>
      <c r="F164" t="s">
        <v>28</v>
      </c>
      <c r="G164" t="s">
        <v>37</v>
      </c>
      <c r="H164" t="s">
        <v>31</v>
      </c>
      <c r="I164" t="s">
        <v>19</v>
      </c>
      <c r="J164">
        <v>8.06</v>
      </c>
      <c r="K164">
        <v>86</v>
      </c>
      <c r="L164" t="s">
        <v>25</v>
      </c>
      <c r="M164" t="str">
        <f t="shared" si="4"/>
        <v>Delayed</v>
      </c>
      <c r="N164" t="str">
        <f t="shared" si="5"/>
        <v>Bangalore → Kolkata</v>
      </c>
    </row>
    <row r="165" spans="1:14">
      <c r="A165" s="1">
        <v>45326</v>
      </c>
      <c r="B165" t="s">
        <v>13</v>
      </c>
      <c r="C165" t="s">
        <v>195</v>
      </c>
      <c r="D165" t="s">
        <v>27</v>
      </c>
      <c r="E165" t="s">
        <v>22</v>
      </c>
      <c r="F165" t="s">
        <v>24</v>
      </c>
      <c r="G165" t="s">
        <v>18</v>
      </c>
      <c r="H165" t="s">
        <v>24</v>
      </c>
      <c r="I165" t="s">
        <v>19</v>
      </c>
      <c r="J165">
        <v>1.93</v>
      </c>
      <c r="K165">
        <v>89</v>
      </c>
      <c r="L165" t="s">
        <v>34</v>
      </c>
      <c r="M165" t="str">
        <f t="shared" si="4"/>
        <v>Delayed</v>
      </c>
      <c r="N165" t="str">
        <f t="shared" si="5"/>
        <v>Hyderabad → Mumbai</v>
      </c>
    </row>
    <row r="166" spans="1:14">
      <c r="A166" s="1">
        <v>45293</v>
      </c>
      <c r="B166" t="s">
        <v>13</v>
      </c>
      <c r="C166" t="s">
        <v>196</v>
      </c>
      <c r="D166" t="s">
        <v>15</v>
      </c>
      <c r="E166" t="s">
        <v>40</v>
      </c>
      <c r="F166" t="s">
        <v>28</v>
      </c>
      <c r="G166" t="s">
        <v>37</v>
      </c>
      <c r="H166" t="s">
        <v>17</v>
      </c>
      <c r="I166" t="s">
        <v>19</v>
      </c>
      <c r="J166">
        <v>11.54</v>
      </c>
      <c r="K166">
        <v>68</v>
      </c>
      <c r="L166" t="s">
        <v>34</v>
      </c>
      <c r="M166" t="str">
        <f t="shared" si="4"/>
        <v>Delayed</v>
      </c>
      <c r="N166" t="str">
        <f t="shared" si="5"/>
        <v>Delhi → Kolkata</v>
      </c>
    </row>
    <row r="167" spans="1:14">
      <c r="A167" s="1">
        <v>45307</v>
      </c>
      <c r="B167" t="s">
        <v>38</v>
      </c>
      <c r="C167" t="s">
        <v>197</v>
      </c>
      <c r="D167" t="s">
        <v>23</v>
      </c>
      <c r="E167" t="s">
        <v>27</v>
      </c>
      <c r="F167" t="s">
        <v>31</v>
      </c>
      <c r="G167" t="s">
        <v>18</v>
      </c>
      <c r="H167" t="s">
        <v>31</v>
      </c>
      <c r="I167" t="s">
        <v>33</v>
      </c>
      <c r="J167">
        <v>3.64</v>
      </c>
      <c r="K167">
        <v>58</v>
      </c>
      <c r="L167" t="s">
        <v>52</v>
      </c>
      <c r="M167" t="str">
        <f t="shared" si="4"/>
        <v>Delayed</v>
      </c>
      <c r="N167" t="str">
        <f t="shared" si="5"/>
        <v>Bangalore → Hyderabad</v>
      </c>
    </row>
    <row r="168" spans="1:14">
      <c r="A168" s="1">
        <v>45301</v>
      </c>
      <c r="B168" t="s">
        <v>29</v>
      </c>
      <c r="C168" t="s">
        <v>198</v>
      </c>
      <c r="D168" t="s">
        <v>40</v>
      </c>
      <c r="E168" t="s">
        <v>23</v>
      </c>
      <c r="F168" t="s">
        <v>28</v>
      </c>
      <c r="G168" t="s">
        <v>18</v>
      </c>
      <c r="H168" t="s">
        <v>32</v>
      </c>
      <c r="I168" t="s">
        <v>33</v>
      </c>
      <c r="J168">
        <v>4.8499999999999996</v>
      </c>
      <c r="K168">
        <v>0</v>
      </c>
      <c r="L168" t="s">
        <v>20</v>
      </c>
      <c r="M168" t="str">
        <f t="shared" si="4"/>
        <v>On Time</v>
      </c>
      <c r="N168" t="str">
        <f t="shared" si="5"/>
        <v>Kolkata → Bangalore</v>
      </c>
    </row>
    <row r="169" spans="1:14">
      <c r="A169" s="1">
        <v>45299</v>
      </c>
      <c r="B169" t="s">
        <v>29</v>
      </c>
      <c r="C169" t="s">
        <v>199</v>
      </c>
      <c r="D169" t="s">
        <v>16</v>
      </c>
      <c r="E169" t="s">
        <v>22</v>
      </c>
      <c r="F169" t="s">
        <v>17</v>
      </c>
      <c r="G169" t="s">
        <v>18</v>
      </c>
      <c r="H169" t="s">
        <v>31</v>
      </c>
      <c r="I169" t="s">
        <v>33</v>
      </c>
      <c r="J169">
        <v>11.61</v>
      </c>
      <c r="K169">
        <v>54</v>
      </c>
      <c r="L169" t="s">
        <v>25</v>
      </c>
      <c r="M169" t="str">
        <f t="shared" si="4"/>
        <v>Delayed</v>
      </c>
      <c r="N169" t="str">
        <f t="shared" si="5"/>
        <v>Chennai → Mumbai</v>
      </c>
    </row>
    <row r="170" spans="1:14">
      <c r="A170" s="1">
        <v>45344</v>
      </c>
      <c r="B170" t="s">
        <v>29</v>
      </c>
      <c r="C170" t="s">
        <v>200</v>
      </c>
      <c r="D170" t="s">
        <v>27</v>
      </c>
      <c r="E170" t="s">
        <v>23</v>
      </c>
      <c r="F170" t="s">
        <v>17</v>
      </c>
      <c r="G170" t="s">
        <v>37</v>
      </c>
      <c r="H170" t="s">
        <v>17</v>
      </c>
      <c r="I170" t="s">
        <v>33</v>
      </c>
      <c r="J170">
        <v>1.74</v>
      </c>
      <c r="K170">
        <v>68</v>
      </c>
      <c r="L170" t="s">
        <v>52</v>
      </c>
      <c r="M170" t="str">
        <f t="shared" si="4"/>
        <v>Delayed</v>
      </c>
      <c r="N170" t="str">
        <f t="shared" si="5"/>
        <v>Hyderabad → Bangalore</v>
      </c>
    </row>
    <row r="171" spans="1:14">
      <c r="A171" s="1">
        <v>45324</v>
      </c>
      <c r="B171" t="s">
        <v>38</v>
      </c>
      <c r="C171" t="s">
        <v>201</v>
      </c>
      <c r="D171" t="s">
        <v>22</v>
      </c>
      <c r="E171" t="s">
        <v>23</v>
      </c>
      <c r="F171" t="s">
        <v>24</v>
      </c>
      <c r="G171" t="s">
        <v>18</v>
      </c>
      <c r="H171" t="s">
        <v>28</v>
      </c>
      <c r="I171" t="s">
        <v>19</v>
      </c>
      <c r="J171">
        <v>10.76</v>
      </c>
      <c r="K171">
        <v>41</v>
      </c>
      <c r="L171" t="s">
        <v>34</v>
      </c>
      <c r="M171" t="str">
        <f t="shared" si="4"/>
        <v>Delayed</v>
      </c>
      <c r="N171" t="str">
        <f t="shared" si="5"/>
        <v>Mumbai → Bangalore</v>
      </c>
    </row>
    <row r="172" spans="1:14">
      <c r="A172" s="1">
        <v>45335</v>
      </c>
      <c r="B172" t="s">
        <v>38</v>
      </c>
      <c r="C172" t="s">
        <v>202</v>
      </c>
      <c r="D172" t="s">
        <v>23</v>
      </c>
      <c r="E172" t="s">
        <v>40</v>
      </c>
      <c r="F172" t="s">
        <v>31</v>
      </c>
      <c r="G172" t="s">
        <v>37</v>
      </c>
      <c r="H172" t="s">
        <v>31</v>
      </c>
      <c r="I172" t="s">
        <v>19</v>
      </c>
      <c r="J172">
        <v>5.34</v>
      </c>
      <c r="K172">
        <v>117</v>
      </c>
      <c r="L172" t="s">
        <v>34</v>
      </c>
      <c r="M172" t="str">
        <f t="shared" si="4"/>
        <v>Delayed</v>
      </c>
      <c r="N172" t="str">
        <f t="shared" si="5"/>
        <v>Bangalore → Kolkata</v>
      </c>
    </row>
    <row r="173" spans="1:14">
      <c r="A173" s="1">
        <v>45315</v>
      </c>
      <c r="B173" t="s">
        <v>13</v>
      </c>
      <c r="C173" t="s">
        <v>203</v>
      </c>
      <c r="D173" t="s">
        <v>16</v>
      </c>
      <c r="E173" t="s">
        <v>15</v>
      </c>
      <c r="F173" t="s">
        <v>24</v>
      </c>
      <c r="G173" t="s">
        <v>18</v>
      </c>
      <c r="H173" t="s">
        <v>24</v>
      </c>
      <c r="I173" t="s">
        <v>33</v>
      </c>
      <c r="J173">
        <v>5.56</v>
      </c>
      <c r="K173">
        <v>75</v>
      </c>
      <c r="L173" t="s">
        <v>25</v>
      </c>
      <c r="M173" t="str">
        <f t="shared" si="4"/>
        <v>Delayed</v>
      </c>
      <c r="N173" t="str">
        <f t="shared" si="5"/>
        <v>Chennai → Delhi</v>
      </c>
    </row>
    <row r="174" spans="1:14">
      <c r="A174" s="1">
        <v>45340</v>
      </c>
      <c r="B174" t="s">
        <v>35</v>
      </c>
      <c r="C174" t="s">
        <v>204</v>
      </c>
      <c r="D174" t="s">
        <v>23</v>
      </c>
      <c r="E174" t="s">
        <v>40</v>
      </c>
      <c r="F174" t="s">
        <v>24</v>
      </c>
      <c r="G174" t="s">
        <v>18</v>
      </c>
      <c r="H174" t="s">
        <v>31</v>
      </c>
      <c r="I174" t="s">
        <v>19</v>
      </c>
      <c r="J174">
        <v>7.36</v>
      </c>
      <c r="K174">
        <v>55</v>
      </c>
      <c r="L174" t="s">
        <v>52</v>
      </c>
      <c r="M174" t="str">
        <f t="shared" si="4"/>
        <v>Delayed</v>
      </c>
      <c r="N174" t="str">
        <f t="shared" si="5"/>
        <v>Bangalore → Kolkata</v>
      </c>
    </row>
    <row r="175" spans="1:14">
      <c r="A175" s="1">
        <v>45340</v>
      </c>
      <c r="B175" t="s">
        <v>45</v>
      </c>
      <c r="C175" t="s">
        <v>205</v>
      </c>
      <c r="D175" t="s">
        <v>22</v>
      </c>
      <c r="E175" t="s">
        <v>40</v>
      </c>
      <c r="F175" t="s">
        <v>24</v>
      </c>
      <c r="G175" t="s">
        <v>18</v>
      </c>
      <c r="H175" t="s">
        <v>32</v>
      </c>
      <c r="I175" t="s">
        <v>19</v>
      </c>
      <c r="J175">
        <v>8.99</v>
      </c>
      <c r="K175">
        <v>0</v>
      </c>
      <c r="L175" t="s">
        <v>20</v>
      </c>
      <c r="M175" t="str">
        <f t="shared" si="4"/>
        <v>On Time</v>
      </c>
      <c r="N175" t="str">
        <f t="shared" si="5"/>
        <v>Mumbai → Kolkata</v>
      </c>
    </row>
    <row r="176" spans="1:14">
      <c r="A176" s="1">
        <v>45322</v>
      </c>
      <c r="B176" t="s">
        <v>35</v>
      </c>
      <c r="C176" t="s">
        <v>206</v>
      </c>
      <c r="D176" t="s">
        <v>16</v>
      </c>
      <c r="E176" t="s">
        <v>22</v>
      </c>
      <c r="F176" t="s">
        <v>24</v>
      </c>
      <c r="G176" t="s">
        <v>18</v>
      </c>
      <c r="H176" t="s">
        <v>24</v>
      </c>
      <c r="I176" t="s">
        <v>33</v>
      </c>
      <c r="J176">
        <v>5.63</v>
      </c>
      <c r="K176">
        <v>83</v>
      </c>
      <c r="L176" t="s">
        <v>25</v>
      </c>
      <c r="M176" t="str">
        <f t="shared" si="4"/>
        <v>Delayed</v>
      </c>
      <c r="N176" t="str">
        <f t="shared" si="5"/>
        <v>Chennai → Mumbai</v>
      </c>
    </row>
    <row r="177" spans="1:14">
      <c r="A177" s="1">
        <v>45339</v>
      </c>
      <c r="B177" t="s">
        <v>29</v>
      </c>
      <c r="C177" t="s">
        <v>207</v>
      </c>
      <c r="D177" t="s">
        <v>27</v>
      </c>
      <c r="E177" t="s">
        <v>23</v>
      </c>
      <c r="F177" t="s">
        <v>24</v>
      </c>
      <c r="G177" t="s">
        <v>37</v>
      </c>
      <c r="H177" t="s">
        <v>24</v>
      </c>
      <c r="I177" t="s">
        <v>33</v>
      </c>
      <c r="J177">
        <v>5.37</v>
      </c>
      <c r="K177">
        <v>0</v>
      </c>
      <c r="L177" t="s">
        <v>20</v>
      </c>
      <c r="M177" t="str">
        <f t="shared" si="4"/>
        <v>On Time</v>
      </c>
      <c r="N177" t="str">
        <f t="shared" si="5"/>
        <v>Hyderabad → Bangalore</v>
      </c>
    </row>
    <row r="178" spans="1:14">
      <c r="A178" s="1">
        <v>45299</v>
      </c>
      <c r="B178" t="s">
        <v>38</v>
      </c>
      <c r="C178" t="s">
        <v>208</v>
      </c>
      <c r="D178" t="s">
        <v>27</v>
      </c>
      <c r="E178" t="s">
        <v>23</v>
      </c>
      <c r="F178" t="s">
        <v>31</v>
      </c>
      <c r="G178" t="s">
        <v>37</v>
      </c>
      <c r="H178" t="s">
        <v>24</v>
      </c>
      <c r="I178" t="s">
        <v>33</v>
      </c>
      <c r="J178">
        <v>9.07</v>
      </c>
      <c r="K178">
        <v>0</v>
      </c>
      <c r="L178" t="s">
        <v>20</v>
      </c>
      <c r="M178" t="str">
        <f t="shared" si="4"/>
        <v>On Time</v>
      </c>
      <c r="N178" t="str">
        <f t="shared" si="5"/>
        <v>Hyderabad → Bangalore</v>
      </c>
    </row>
    <row r="179" spans="1:14">
      <c r="A179" s="1">
        <v>45322</v>
      </c>
      <c r="B179" t="s">
        <v>45</v>
      </c>
      <c r="C179" t="s">
        <v>209</v>
      </c>
      <c r="D179" t="s">
        <v>27</v>
      </c>
      <c r="E179" t="s">
        <v>40</v>
      </c>
      <c r="F179" t="s">
        <v>32</v>
      </c>
      <c r="G179" t="s">
        <v>18</v>
      </c>
      <c r="H179" t="s">
        <v>17</v>
      </c>
      <c r="I179" t="s">
        <v>19</v>
      </c>
      <c r="J179">
        <v>3.5</v>
      </c>
      <c r="K179">
        <v>0</v>
      </c>
      <c r="L179" t="s">
        <v>20</v>
      </c>
      <c r="M179" t="str">
        <f t="shared" si="4"/>
        <v>On Time</v>
      </c>
      <c r="N179" t="str">
        <f t="shared" si="5"/>
        <v>Hyderabad → Kolkata</v>
      </c>
    </row>
    <row r="180" spans="1:14">
      <c r="A180" s="1">
        <v>45312</v>
      </c>
      <c r="B180" t="s">
        <v>38</v>
      </c>
      <c r="C180" t="s">
        <v>210</v>
      </c>
      <c r="D180" t="s">
        <v>22</v>
      </c>
      <c r="E180" t="s">
        <v>27</v>
      </c>
      <c r="F180" t="s">
        <v>17</v>
      </c>
      <c r="G180" t="s">
        <v>37</v>
      </c>
      <c r="H180" t="s">
        <v>32</v>
      </c>
      <c r="I180" t="s">
        <v>19</v>
      </c>
      <c r="J180">
        <v>6.95</v>
      </c>
      <c r="K180">
        <v>0</v>
      </c>
      <c r="L180" t="s">
        <v>20</v>
      </c>
      <c r="M180" t="str">
        <f t="shared" si="4"/>
        <v>On Time</v>
      </c>
      <c r="N180" t="str">
        <f t="shared" si="5"/>
        <v>Mumbai → Hyderabad</v>
      </c>
    </row>
    <row r="181" spans="1:14">
      <c r="A181" s="1">
        <v>45312</v>
      </c>
      <c r="B181" t="s">
        <v>38</v>
      </c>
      <c r="C181" t="s">
        <v>211</v>
      </c>
      <c r="D181" t="s">
        <v>27</v>
      </c>
      <c r="E181" t="s">
        <v>16</v>
      </c>
      <c r="F181" t="s">
        <v>28</v>
      </c>
      <c r="G181" t="s">
        <v>37</v>
      </c>
      <c r="H181" t="s">
        <v>17</v>
      </c>
      <c r="I181" t="s">
        <v>33</v>
      </c>
      <c r="J181">
        <v>9.61</v>
      </c>
      <c r="K181">
        <v>74</v>
      </c>
      <c r="L181" t="s">
        <v>34</v>
      </c>
      <c r="M181" t="str">
        <f t="shared" si="4"/>
        <v>Delayed</v>
      </c>
      <c r="N181" t="str">
        <f t="shared" si="5"/>
        <v>Hyderabad → Chennai</v>
      </c>
    </row>
    <row r="182" spans="1:14">
      <c r="A182" s="1">
        <v>45335</v>
      </c>
      <c r="B182" t="s">
        <v>29</v>
      </c>
      <c r="C182" t="s">
        <v>212</v>
      </c>
      <c r="D182" t="s">
        <v>27</v>
      </c>
      <c r="E182" t="s">
        <v>16</v>
      </c>
      <c r="F182" t="s">
        <v>17</v>
      </c>
      <c r="G182" t="s">
        <v>37</v>
      </c>
      <c r="H182" t="s">
        <v>17</v>
      </c>
      <c r="I182" t="s">
        <v>33</v>
      </c>
      <c r="J182">
        <v>8.9</v>
      </c>
      <c r="K182">
        <v>33</v>
      </c>
      <c r="L182" t="s">
        <v>52</v>
      </c>
      <c r="M182" t="str">
        <f t="shared" si="4"/>
        <v>Delayed</v>
      </c>
      <c r="N182" t="str">
        <f t="shared" si="5"/>
        <v>Hyderabad → Chennai</v>
      </c>
    </row>
    <row r="183" spans="1:14">
      <c r="A183" s="1">
        <v>45337</v>
      </c>
      <c r="B183" t="s">
        <v>38</v>
      </c>
      <c r="C183" t="s">
        <v>114</v>
      </c>
      <c r="D183" t="s">
        <v>23</v>
      </c>
      <c r="E183" t="s">
        <v>27</v>
      </c>
      <c r="F183" t="s">
        <v>28</v>
      </c>
      <c r="G183" t="s">
        <v>37</v>
      </c>
      <c r="H183" t="s">
        <v>24</v>
      </c>
      <c r="I183" t="s">
        <v>33</v>
      </c>
      <c r="J183">
        <v>10.09</v>
      </c>
      <c r="K183">
        <v>20</v>
      </c>
      <c r="L183" t="s">
        <v>52</v>
      </c>
      <c r="M183" t="str">
        <f t="shared" si="4"/>
        <v>Delayed</v>
      </c>
      <c r="N183" t="str">
        <f t="shared" si="5"/>
        <v>Bangalore → Hyderabad</v>
      </c>
    </row>
    <row r="184" spans="1:14">
      <c r="A184" s="1">
        <v>45343</v>
      </c>
      <c r="B184" t="s">
        <v>45</v>
      </c>
      <c r="C184" t="s">
        <v>213</v>
      </c>
      <c r="D184" t="s">
        <v>23</v>
      </c>
      <c r="E184" t="s">
        <v>15</v>
      </c>
      <c r="F184" t="s">
        <v>28</v>
      </c>
      <c r="G184" t="s">
        <v>37</v>
      </c>
      <c r="H184" t="s">
        <v>31</v>
      </c>
      <c r="I184" t="s">
        <v>33</v>
      </c>
      <c r="J184">
        <v>6.53</v>
      </c>
      <c r="K184">
        <v>88</v>
      </c>
      <c r="L184" t="s">
        <v>34</v>
      </c>
      <c r="M184" t="str">
        <f t="shared" si="4"/>
        <v>Delayed</v>
      </c>
      <c r="N184" t="str">
        <f t="shared" si="5"/>
        <v>Bangalore → Delhi</v>
      </c>
    </row>
    <row r="185" spans="1:14">
      <c r="A185" s="1">
        <v>45344</v>
      </c>
      <c r="B185" t="s">
        <v>35</v>
      </c>
      <c r="C185" t="s">
        <v>214</v>
      </c>
      <c r="D185" t="s">
        <v>23</v>
      </c>
      <c r="E185" t="s">
        <v>40</v>
      </c>
      <c r="F185" t="s">
        <v>28</v>
      </c>
      <c r="G185" t="s">
        <v>18</v>
      </c>
      <c r="H185" t="s">
        <v>17</v>
      </c>
      <c r="I185" t="s">
        <v>19</v>
      </c>
      <c r="J185">
        <v>8.5299999999999994</v>
      </c>
      <c r="K185">
        <v>0</v>
      </c>
      <c r="L185" t="s">
        <v>20</v>
      </c>
      <c r="M185" t="str">
        <f t="shared" si="4"/>
        <v>On Time</v>
      </c>
      <c r="N185" t="str">
        <f t="shared" si="5"/>
        <v>Bangalore → Kolkata</v>
      </c>
    </row>
    <row r="186" spans="1:14">
      <c r="A186" s="1">
        <v>45306</v>
      </c>
      <c r="B186" t="s">
        <v>45</v>
      </c>
      <c r="C186" t="s">
        <v>215</v>
      </c>
      <c r="D186" t="s">
        <v>15</v>
      </c>
      <c r="E186" t="s">
        <v>22</v>
      </c>
      <c r="F186" t="s">
        <v>32</v>
      </c>
      <c r="G186" t="s">
        <v>37</v>
      </c>
      <c r="H186" t="s">
        <v>28</v>
      </c>
      <c r="I186" t="s">
        <v>19</v>
      </c>
      <c r="J186">
        <v>1.55</v>
      </c>
      <c r="K186">
        <v>0</v>
      </c>
      <c r="L186" t="s">
        <v>20</v>
      </c>
      <c r="M186" t="str">
        <f t="shared" si="4"/>
        <v>On Time</v>
      </c>
      <c r="N186" t="str">
        <f t="shared" si="5"/>
        <v>Delhi → Mumbai</v>
      </c>
    </row>
    <row r="187" spans="1:14">
      <c r="A187" s="1">
        <v>45351</v>
      </c>
      <c r="B187" t="s">
        <v>45</v>
      </c>
      <c r="C187" t="s">
        <v>216</v>
      </c>
      <c r="D187" t="s">
        <v>16</v>
      </c>
      <c r="E187" t="s">
        <v>27</v>
      </c>
      <c r="F187" t="s">
        <v>32</v>
      </c>
      <c r="G187" t="s">
        <v>37</v>
      </c>
      <c r="H187" t="s">
        <v>17</v>
      </c>
      <c r="I187" t="s">
        <v>33</v>
      </c>
      <c r="J187">
        <v>11.03</v>
      </c>
      <c r="K187">
        <v>0</v>
      </c>
      <c r="L187" t="s">
        <v>20</v>
      </c>
      <c r="M187" t="str">
        <f t="shared" si="4"/>
        <v>On Time</v>
      </c>
      <c r="N187" t="str">
        <f t="shared" si="5"/>
        <v>Chennai → Hyderabad</v>
      </c>
    </row>
    <row r="188" spans="1:14">
      <c r="A188" s="1">
        <v>45333</v>
      </c>
      <c r="B188" t="s">
        <v>35</v>
      </c>
      <c r="C188" t="s">
        <v>217</v>
      </c>
      <c r="D188" t="s">
        <v>22</v>
      </c>
      <c r="E188" t="s">
        <v>40</v>
      </c>
      <c r="F188" t="s">
        <v>31</v>
      </c>
      <c r="G188" t="s">
        <v>37</v>
      </c>
      <c r="H188" t="s">
        <v>17</v>
      </c>
      <c r="I188" t="s">
        <v>19</v>
      </c>
      <c r="J188">
        <v>3.46</v>
      </c>
      <c r="K188">
        <v>9</v>
      </c>
      <c r="L188" t="s">
        <v>52</v>
      </c>
      <c r="M188" t="str">
        <f t="shared" si="4"/>
        <v>Delayed</v>
      </c>
      <c r="N188" t="str">
        <f t="shared" si="5"/>
        <v>Mumbai → Kolkata</v>
      </c>
    </row>
    <row r="189" spans="1:14">
      <c r="A189" s="1">
        <v>45347</v>
      </c>
      <c r="B189" t="s">
        <v>29</v>
      </c>
      <c r="C189" t="s">
        <v>218</v>
      </c>
      <c r="D189" t="s">
        <v>15</v>
      </c>
      <c r="E189" t="s">
        <v>22</v>
      </c>
      <c r="F189" t="s">
        <v>28</v>
      </c>
      <c r="G189" t="s">
        <v>18</v>
      </c>
      <c r="H189" t="s">
        <v>24</v>
      </c>
      <c r="I189" t="s">
        <v>33</v>
      </c>
      <c r="J189">
        <v>7.2</v>
      </c>
      <c r="K189">
        <v>41</v>
      </c>
      <c r="L189" t="s">
        <v>34</v>
      </c>
      <c r="M189" t="str">
        <f t="shared" si="4"/>
        <v>Delayed</v>
      </c>
      <c r="N189" t="str">
        <f t="shared" si="5"/>
        <v>Delhi → Mumbai</v>
      </c>
    </row>
    <row r="190" spans="1:14">
      <c r="A190" s="1">
        <v>45348</v>
      </c>
      <c r="B190" t="s">
        <v>45</v>
      </c>
      <c r="C190" t="s">
        <v>219</v>
      </c>
      <c r="D190" t="s">
        <v>27</v>
      </c>
      <c r="E190" t="s">
        <v>16</v>
      </c>
      <c r="F190" t="s">
        <v>28</v>
      </c>
      <c r="G190" t="s">
        <v>18</v>
      </c>
      <c r="H190" t="s">
        <v>17</v>
      </c>
      <c r="I190" t="s">
        <v>33</v>
      </c>
      <c r="J190">
        <v>4.2</v>
      </c>
      <c r="K190">
        <v>25</v>
      </c>
      <c r="L190" t="s">
        <v>34</v>
      </c>
      <c r="M190" t="str">
        <f t="shared" si="4"/>
        <v>Delayed</v>
      </c>
      <c r="N190" t="str">
        <f t="shared" si="5"/>
        <v>Hyderabad → Chennai</v>
      </c>
    </row>
    <row r="191" spans="1:14">
      <c r="A191" s="1">
        <v>45292</v>
      </c>
      <c r="B191" t="s">
        <v>29</v>
      </c>
      <c r="C191" t="s">
        <v>220</v>
      </c>
      <c r="D191" t="s">
        <v>23</v>
      </c>
      <c r="E191" t="s">
        <v>40</v>
      </c>
      <c r="F191" t="s">
        <v>17</v>
      </c>
      <c r="G191" t="s">
        <v>37</v>
      </c>
      <c r="H191" t="s">
        <v>17</v>
      </c>
      <c r="I191" t="s">
        <v>33</v>
      </c>
      <c r="J191">
        <v>5.71</v>
      </c>
      <c r="K191">
        <v>70</v>
      </c>
      <c r="L191" t="s">
        <v>25</v>
      </c>
      <c r="M191" t="str">
        <f t="shared" si="4"/>
        <v>Delayed</v>
      </c>
      <c r="N191" t="str">
        <f t="shared" si="5"/>
        <v>Bangalore → Kolkata</v>
      </c>
    </row>
    <row r="192" spans="1:14">
      <c r="A192" s="1">
        <v>45303</v>
      </c>
      <c r="B192" t="s">
        <v>45</v>
      </c>
      <c r="C192" t="s">
        <v>221</v>
      </c>
      <c r="D192" t="s">
        <v>16</v>
      </c>
      <c r="E192" t="s">
        <v>23</v>
      </c>
      <c r="F192" t="s">
        <v>17</v>
      </c>
      <c r="G192" t="s">
        <v>37</v>
      </c>
      <c r="H192" t="s">
        <v>31</v>
      </c>
      <c r="I192" t="s">
        <v>33</v>
      </c>
      <c r="J192">
        <v>11.52</v>
      </c>
      <c r="K192">
        <v>35</v>
      </c>
      <c r="L192" t="s">
        <v>52</v>
      </c>
      <c r="M192" t="str">
        <f t="shared" si="4"/>
        <v>Delayed</v>
      </c>
      <c r="N192" t="str">
        <f t="shared" si="5"/>
        <v>Chennai → Bangalore</v>
      </c>
    </row>
    <row r="193" spans="1:14">
      <c r="A193" s="1">
        <v>45329</v>
      </c>
      <c r="B193" t="s">
        <v>35</v>
      </c>
      <c r="C193" t="s">
        <v>222</v>
      </c>
      <c r="D193" t="s">
        <v>15</v>
      </c>
      <c r="E193" t="s">
        <v>16</v>
      </c>
      <c r="F193" t="s">
        <v>28</v>
      </c>
      <c r="G193" t="s">
        <v>18</v>
      </c>
      <c r="H193" t="s">
        <v>17</v>
      </c>
      <c r="I193" t="s">
        <v>19</v>
      </c>
      <c r="J193">
        <v>5.76</v>
      </c>
      <c r="K193">
        <v>64</v>
      </c>
      <c r="L193" t="s">
        <v>25</v>
      </c>
      <c r="M193" t="str">
        <f t="shared" si="4"/>
        <v>Delayed</v>
      </c>
      <c r="N193" t="str">
        <f t="shared" si="5"/>
        <v>Delhi → Chennai</v>
      </c>
    </row>
    <row r="194" spans="1:14">
      <c r="A194" s="1">
        <v>45351</v>
      </c>
      <c r="B194" t="s">
        <v>29</v>
      </c>
      <c r="C194" t="s">
        <v>223</v>
      </c>
      <c r="D194" t="s">
        <v>40</v>
      </c>
      <c r="E194" t="s">
        <v>15</v>
      </c>
      <c r="F194" t="s">
        <v>28</v>
      </c>
      <c r="G194" t="s">
        <v>18</v>
      </c>
      <c r="H194" t="s">
        <v>28</v>
      </c>
      <c r="I194" t="s">
        <v>19</v>
      </c>
      <c r="J194">
        <v>6.28</v>
      </c>
      <c r="K194">
        <v>22</v>
      </c>
      <c r="L194" t="s">
        <v>25</v>
      </c>
      <c r="M194" t="str">
        <f t="shared" ref="M194:M257" si="6">IF(K194=0,"On Time","Delayed")</f>
        <v>Delayed</v>
      </c>
      <c r="N194" t="str">
        <f t="shared" ref="N194:N257" si="7">D194 &amp; " → " &amp; E194</f>
        <v>Kolkata → Delhi</v>
      </c>
    </row>
    <row r="195" spans="1:14">
      <c r="A195" s="1">
        <v>45315</v>
      </c>
      <c r="B195" t="s">
        <v>38</v>
      </c>
      <c r="C195" t="s">
        <v>224</v>
      </c>
      <c r="D195" t="s">
        <v>40</v>
      </c>
      <c r="E195" t="s">
        <v>27</v>
      </c>
      <c r="F195" t="s">
        <v>32</v>
      </c>
      <c r="G195" t="s">
        <v>18</v>
      </c>
      <c r="H195" t="s">
        <v>24</v>
      </c>
      <c r="I195" t="s">
        <v>19</v>
      </c>
      <c r="J195">
        <v>7.02</v>
      </c>
      <c r="K195">
        <v>0</v>
      </c>
      <c r="L195" t="s">
        <v>20</v>
      </c>
      <c r="M195" t="str">
        <f t="shared" si="6"/>
        <v>On Time</v>
      </c>
      <c r="N195" t="str">
        <f t="shared" si="7"/>
        <v>Kolkata → Hyderabad</v>
      </c>
    </row>
    <row r="196" spans="1:14">
      <c r="A196" s="1">
        <v>45337</v>
      </c>
      <c r="B196" t="s">
        <v>29</v>
      </c>
      <c r="C196" t="s">
        <v>225</v>
      </c>
      <c r="D196" t="s">
        <v>15</v>
      </c>
      <c r="E196" t="s">
        <v>40</v>
      </c>
      <c r="F196" t="s">
        <v>31</v>
      </c>
      <c r="G196" t="s">
        <v>18</v>
      </c>
      <c r="H196" t="s">
        <v>31</v>
      </c>
      <c r="I196" t="s">
        <v>19</v>
      </c>
      <c r="J196">
        <v>6.14</v>
      </c>
      <c r="K196">
        <v>26</v>
      </c>
      <c r="L196" t="s">
        <v>34</v>
      </c>
      <c r="M196" t="str">
        <f t="shared" si="6"/>
        <v>Delayed</v>
      </c>
      <c r="N196" t="str">
        <f t="shared" si="7"/>
        <v>Delhi → Kolkata</v>
      </c>
    </row>
    <row r="197" spans="1:14">
      <c r="A197" s="1">
        <v>45305</v>
      </c>
      <c r="B197" t="s">
        <v>35</v>
      </c>
      <c r="C197" t="s">
        <v>226</v>
      </c>
      <c r="D197" t="s">
        <v>16</v>
      </c>
      <c r="E197" t="s">
        <v>15</v>
      </c>
      <c r="F197" t="s">
        <v>24</v>
      </c>
      <c r="G197" t="s">
        <v>18</v>
      </c>
      <c r="H197" t="s">
        <v>32</v>
      </c>
      <c r="I197" t="s">
        <v>33</v>
      </c>
      <c r="J197">
        <v>7.42</v>
      </c>
      <c r="K197">
        <v>21</v>
      </c>
      <c r="L197" t="s">
        <v>52</v>
      </c>
      <c r="M197" t="str">
        <f t="shared" si="6"/>
        <v>Delayed</v>
      </c>
      <c r="N197" t="str">
        <f t="shared" si="7"/>
        <v>Chennai → Delhi</v>
      </c>
    </row>
    <row r="198" spans="1:14">
      <c r="A198" s="1">
        <v>45321</v>
      </c>
      <c r="B198" t="s">
        <v>29</v>
      </c>
      <c r="C198" t="s">
        <v>227</v>
      </c>
      <c r="D198" t="s">
        <v>40</v>
      </c>
      <c r="E198" t="s">
        <v>15</v>
      </c>
      <c r="F198" t="s">
        <v>32</v>
      </c>
      <c r="G198" t="s">
        <v>18</v>
      </c>
      <c r="H198" t="s">
        <v>28</v>
      </c>
      <c r="I198" t="s">
        <v>19</v>
      </c>
      <c r="J198">
        <v>1.98</v>
      </c>
      <c r="K198">
        <v>0</v>
      </c>
      <c r="L198" t="s">
        <v>20</v>
      </c>
      <c r="M198" t="str">
        <f t="shared" si="6"/>
        <v>On Time</v>
      </c>
      <c r="N198" t="str">
        <f t="shared" si="7"/>
        <v>Kolkata → Delhi</v>
      </c>
    </row>
    <row r="199" spans="1:14">
      <c r="A199" s="1">
        <v>45336</v>
      </c>
      <c r="B199" t="s">
        <v>13</v>
      </c>
      <c r="C199" t="s">
        <v>228</v>
      </c>
      <c r="D199" t="s">
        <v>27</v>
      </c>
      <c r="E199" t="s">
        <v>15</v>
      </c>
      <c r="F199" t="s">
        <v>31</v>
      </c>
      <c r="G199" t="s">
        <v>18</v>
      </c>
      <c r="H199" t="s">
        <v>32</v>
      </c>
      <c r="I199" t="s">
        <v>33</v>
      </c>
      <c r="J199">
        <v>9.57</v>
      </c>
      <c r="K199">
        <v>0</v>
      </c>
      <c r="L199" t="s">
        <v>20</v>
      </c>
      <c r="M199" t="str">
        <f t="shared" si="6"/>
        <v>On Time</v>
      </c>
      <c r="N199" t="str">
        <f t="shared" si="7"/>
        <v>Hyderabad → Delhi</v>
      </c>
    </row>
    <row r="200" spans="1:14">
      <c r="A200" s="1">
        <v>45333</v>
      </c>
      <c r="B200" t="s">
        <v>38</v>
      </c>
      <c r="C200" t="s">
        <v>229</v>
      </c>
      <c r="D200" t="s">
        <v>23</v>
      </c>
      <c r="E200" t="s">
        <v>27</v>
      </c>
      <c r="F200" t="s">
        <v>32</v>
      </c>
      <c r="G200" t="s">
        <v>37</v>
      </c>
      <c r="H200" t="s">
        <v>32</v>
      </c>
      <c r="I200" t="s">
        <v>19</v>
      </c>
      <c r="J200">
        <v>8.36</v>
      </c>
      <c r="K200">
        <v>0</v>
      </c>
      <c r="L200" t="s">
        <v>20</v>
      </c>
      <c r="M200" t="str">
        <f t="shared" si="6"/>
        <v>On Time</v>
      </c>
      <c r="N200" t="str">
        <f t="shared" si="7"/>
        <v>Bangalore → Hyderabad</v>
      </c>
    </row>
    <row r="201" spans="1:14">
      <c r="A201" s="1">
        <v>45299</v>
      </c>
      <c r="B201" t="s">
        <v>45</v>
      </c>
      <c r="C201" t="s">
        <v>230</v>
      </c>
      <c r="D201" t="s">
        <v>27</v>
      </c>
      <c r="E201" t="s">
        <v>16</v>
      </c>
      <c r="F201" t="s">
        <v>24</v>
      </c>
      <c r="G201" t="s">
        <v>18</v>
      </c>
      <c r="H201" t="s">
        <v>17</v>
      </c>
      <c r="I201" t="s">
        <v>19</v>
      </c>
      <c r="J201">
        <v>11.77</v>
      </c>
      <c r="K201">
        <v>0</v>
      </c>
      <c r="L201" t="s">
        <v>20</v>
      </c>
      <c r="M201" t="str">
        <f t="shared" si="6"/>
        <v>On Time</v>
      </c>
      <c r="N201" t="str">
        <f t="shared" si="7"/>
        <v>Hyderabad → Chennai</v>
      </c>
    </row>
    <row r="202" spans="1:14">
      <c r="A202" s="1">
        <v>45335</v>
      </c>
      <c r="B202" t="s">
        <v>35</v>
      </c>
      <c r="C202" t="s">
        <v>231</v>
      </c>
      <c r="D202" t="s">
        <v>16</v>
      </c>
      <c r="E202" t="s">
        <v>40</v>
      </c>
      <c r="F202" t="s">
        <v>32</v>
      </c>
      <c r="G202" t="s">
        <v>18</v>
      </c>
      <c r="H202" t="s">
        <v>17</v>
      </c>
      <c r="I202" t="s">
        <v>33</v>
      </c>
      <c r="J202">
        <v>4.3899999999999997</v>
      </c>
      <c r="K202">
        <v>0</v>
      </c>
      <c r="L202" t="s">
        <v>20</v>
      </c>
      <c r="M202" t="str">
        <f t="shared" si="6"/>
        <v>On Time</v>
      </c>
      <c r="N202" t="str">
        <f t="shared" si="7"/>
        <v>Chennai → Kolkata</v>
      </c>
    </row>
    <row r="203" spans="1:14">
      <c r="A203" s="1">
        <v>45338</v>
      </c>
      <c r="B203" t="s">
        <v>13</v>
      </c>
      <c r="C203" t="s">
        <v>232</v>
      </c>
      <c r="D203" t="s">
        <v>15</v>
      </c>
      <c r="E203" t="s">
        <v>27</v>
      </c>
      <c r="F203" t="s">
        <v>24</v>
      </c>
      <c r="G203" t="s">
        <v>18</v>
      </c>
      <c r="H203" t="s">
        <v>31</v>
      </c>
      <c r="I203" t="s">
        <v>19</v>
      </c>
      <c r="J203">
        <v>7.74</v>
      </c>
      <c r="K203">
        <v>0</v>
      </c>
      <c r="L203" t="s">
        <v>20</v>
      </c>
      <c r="M203" t="str">
        <f t="shared" si="6"/>
        <v>On Time</v>
      </c>
      <c r="N203" t="str">
        <f t="shared" si="7"/>
        <v>Delhi → Hyderabad</v>
      </c>
    </row>
    <row r="204" spans="1:14">
      <c r="A204" s="1">
        <v>45330</v>
      </c>
      <c r="B204" t="s">
        <v>13</v>
      </c>
      <c r="C204" t="s">
        <v>233</v>
      </c>
      <c r="D204" t="s">
        <v>22</v>
      </c>
      <c r="E204" t="s">
        <v>15</v>
      </c>
      <c r="F204" t="s">
        <v>32</v>
      </c>
      <c r="G204" t="s">
        <v>18</v>
      </c>
      <c r="H204" t="s">
        <v>32</v>
      </c>
      <c r="I204" t="s">
        <v>19</v>
      </c>
      <c r="J204">
        <v>2.97</v>
      </c>
      <c r="K204">
        <v>0</v>
      </c>
      <c r="L204" t="s">
        <v>20</v>
      </c>
      <c r="M204" t="str">
        <f t="shared" si="6"/>
        <v>On Time</v>
      </c>
      <c r="N204" t="str">
        <f t="shared" si="7"/>
        <v>Mumbai → Delhi</v>
      </c>
    </row>
    <row r="205" spans="1:14">
      <c r="A205" s="1">
        <v>45306</v>
      </c>
      <c r="B205" t="s">
        <v>35</v>
      </c>
      <c r="C205" t="s">
        <v>234</v>
      </c>
      <c r="D205" t="s">
        <v>23</v>
      </c>
      <c r="E205" t="s">
        <v>40</v>
      </c>
      <c r="F205" t="s">
        <v>24</v>
      </c>
      <c r="G205" t="s">
        <v>18</v>
      </c>
      <c r="H205" t="s">
        <v>28</v>
      </c>
      <c r="I205" t="s">
        <v>33</v>
      </c>
      <c r="J205">
        <v>11.85</v>
      </c>
      <c r="K205">
        <v>0</v>
      </c>
      <c r="L205" t="s">
        <v>20</v>
      </c>
      <c r="M205" t="str">
        <f t="shared" si="6"/>
        <v>On Time</v>
      </c>
      <c r="N205" t="str">
        <f t="shared" si="7"/>
        <v>Bangalore → Kolkata</v>
      </c>
    </row>
    <row r="206" spans="1:14">
      <c r="A206" s="1">
        <v>45306</v>
      </c>
      <c r="B206" t="s">
        <v>38</v>
      </c>
      <c r="C206" t="s">
        <v>235</v>
      </c>
      <c r="D206" t="s">
        <v>23</v>
      </c>
      <c r="E206" t="s">
        <v>16</v>
      </c>
      <c r="F206" t="s">
        <v>31</v>
      </c>
      <c r="G206" t="s">
        <v>18</v>
      </c>
      <c r="H206" t="s">
        <v>24</v>
      </c>
      <c r="I206" t="s">
        <v>33</v>
      </c>
      <c r="J206">
        <v>11.71</v>
      </c>
      <c r="K206">
        <v>76</v>
      </c>
      <c r="L206" t="s">
        <v>25</v>
      </c>
      <c r="M206" t="str">
        <f t="shared" si="6"/>
        <v>Delayed</v>
      </c>
      <c r="N206" t="str">
        <f t="shared" si="7"/>
        <v>Bangalore → Chennai</v>
      </c>
    </row>
    <row r="207" spans="1:14">
      <c r="A207" s="1">
        <v>45334</v>
      </c>
      <c r="B207" t="s">
        <v>38</v>
      </c>
      <c r="C207" t="s">
        <v>121</v>
      </c>
      <c r="D207" t="s">
        <v>27</v>
      </c>
      <c r="E207" t="s">
        <v>23</v>
      </c>
      <c r="F207" t="s">
        <v>32</v>
      </c>
      <c r="G207" t="s">
        <v>18</v>
      </c>
      <c r="H207" t="s">
        <v>32</v>
      </c>
      <c r="I207" t="s">
        <v>33</v>
      </c>
      <c r="J207">
        <v>9.42</v>
      </c>
      <c r="K207">
        <v>0</v>
      </c>
      <c r="L207" t="s">
        <v>20</v>
      </c>
      <c r="M207" t="str">
        <f t="shared" si="6"/>
        <v>On Time</v>
      </c>
      <c r="N207" t="str">
        <f t="shared" si="7"/>
        <v>Hyderabad → Bangalore</v>
      </c>
    </row>
    <row r="208" spans="1:14">
      <c r="A208" s="1">
        <v>45307</v>
      </c>
      <c r="B208" t="s">
        <v>45</v>
      </c>
      <c r="C208" t="s">
        <v>236</v>
      </c>
      <c r="D208" t="s">
        <v>23</v>
      </c>
      <c r="E208" t="s">
        <v>22</v>
      </c>
      <c r="F208" t="s">
        <v>32</v>
      </c>
      <c r="G208" t="s">
        <v>37</v>
      </c>
      <c r="H208" t="s">
        <v>31</v>
      </c>
      <c r="I208" t="s">
        <v>33</v>
      </c>
      <c r="J208">
        <v>5.58</v>
      </c>
      <c r="K208">
        <v>0</v>
      </c>
      <c r="L208" t="s">
        <v>20</v>
      </c>
      <c r="M208" t="str">
        <f t="shared" si="6"/>
        <v>On Time</v>
      </c>
      <c r="N208" t="str">
        <f t="shared" si="7"/>
        <v>Bangalore → Mumbai</v>
      </c>
    </row>
    <row r="209" spans="1:14">
      <c r="A209" s="1">
        <v>45305</v>
      </c>
      <c r="B209" t="s">
        <v>29</v>
      </c>
      <c r="C209" t="s">
        <v>237</v>
      </c>
      <c r="D209" t="s">
        <v>40</v>
      </c>
      <c r="E209" t="s">
        <v>15</v>
      </c>
      <c r="F209" t="s">
        <v>32</v>
      </c>
      <c r="G209" t="s">
        <v>18</v>
      </c>
      <c r="H209" t="s">
        <v>28</v>
      </c>
      <c r="I209" t="s">
        <v>19</v>
      </c>
      <c r="J209">
        <v>8.57</v>
      </c>
      <c r="K209">
        <v>11</v>
      </c>
      <c r="L209" t="s">
        <v>52</v>
      </c>
      <c r="M209" t="str">
        <f t="shared" si="6"/>
        <v>Delayed</v>
      </c>
      <c r="N209" t="str">
        <f t="shared" si="7"/>
        <v>Kolkata → Delhi</v>
      </c>
    </row>
    <row r="210" spans="1:14">
      <c r="A210" s="1">
        <v>45294</v>
      </c>
      <c r="B210" t="s">
        <v>13</v>
      </c>
      <c r="C210" t="s">
        <v>238</v>
      </c>
      <c r="D210" t="s">
        <v>22</v>
      </c>
      <c r="E210" t="s">
        <v>40</v>
      </c>
      <c r="F210" t="s">
        <v>24</v>
      </c>
      <c r="G210" t="s">
        <v>37</v>
      </c>
      <c r="H210" t="s">
        <v>17</v>
      </c>
      <c r="I210" t="s">
        <v>19</v>
      </c>
      <c r="J210">
        <v>11.55</v>
      </c>
      <c r="K210">
        <v>116</v>
      </c>
      <c r="L210" t="s">
        <v>52</v>
      </c>
      <c r="M210" t="str">
        <f t="shared" si="6"/>
        <v>Delayed</v>
      </c>
      <c r="N210" t="str">
        <f t="shared" si="7"/>
        <v>Mumbai → Kolkata</v>
      </c>
    </row>
    <row r="211" spans="1:14">
      <c r="A211" s="1">
        <v>45305</v>
      </c>
      <c r="B211" t="s">
        <v>45</v>
      </c>
      <c r="C211" t="s">
        <v>239</v>
      </c>
      <c r="D211" t="s">
        <v>40</v>
      </c>
      <c r="E211" t="s">
        <v>15</v>
      </c>
      <c r="F211" t="s">
        <v>32</v>
      </c>
      <c r="G211" t="s">
        <v>18</v>
      </c>
      <c r="H211" t="s">
        <v>17</v>
      </c>
      <c r="I211" t="s">
        <v>33</v>
      </c>
      <c r="J211">
        <v>5.5</v>
      </c>
      <c r="K211">
        <v>35</v>
      </c>
      <c r="L211" t="s">
        <v>52</v>
      </c>
      <c r="M211" t="str">
        <f t="shared" si="6"/>
        <v>Delayed</v>
      </c>
      <c r="N211" t="str">
        <f t="shared" si="7"/>
        <v>Kolkata → Delhi</v>
      </c>
    </row>
    <row r="212" spans="1:14">
      <c r="A212" s="1">
        <v>45333</v>
      </c>
      <c r="B212" t="s">
        <v>29</v>
      </c>
      <c r="C212" t="s">
        <v>240</v>
      </c>
      <c r="D212" t="s">
        <v>23</v>
      </c>
      <c r="E212" t="s">
        <v>16</v>
      </c>
      <c r="F212" t="s">
        <v>28</v>
      </c>
      <c r="G212" t="s">
        <v>37</v>
      </c>
      <c r="H212" t="s">
        <v>24</v>
      </c>
      <c r="I212" t="s">
        <v>33</v>
      </c>
      <c r="J212">
        <v>11.1</v>
      </c>
      <c r="K212">
        <v>17</v>
      </c>
      <c r="L212" t="s">
        <v>52</v>
      </c>
      <c r="M212" t="str">
        <f t="shared" si="6"/>
        <v>Delayed</v>
      </c>
      <c r="N212" t="str">
        <f t="shared" si="7"/>
        <v>Bangalore → Chennai</v>
      </c>
    </row>
    <row r="213" spans="1:14">
      <c r="A213" s="1">
        <v>45312</v>
      </c>
      <c r="B213" t="s">
        <v>38</v>
      </c>
      <c r="C213" t="s">
        <v>113</v>
      </c>
      <c r="D213" t="s">
        <v>15</v>
      </c>
      <c r="E213" t="s">
        <v>40</v>
      </c>
      <c r="F213" t="s">
        <v>17</v>
      </c>
      <c r="G213" t="s">
        <v>18</v>
      </c>
      <c r="H213" t="s">
        <v>17</v>
      </c>
      <c r="I213" t="s">
        <v>33</v>
      </c>
      <c r="J213">
        <v>3.1</v>
      </c>
      <c r="K213">
        <v>75</v>
      </c>
      <c r="L213" t="s">
        <v>52</v>
      </c>
      <c r="M213" t="str">
        <f t="shared" si="6"/>
        <v>Delayed</v>
      </c>
      <c r="N213" t="str">
        <f t="shared" si="7"/>
        <v>Delhi → Kolkata</v>
      </c>
    </row>
    <row r="214" spans="1:14">
      <c r="A214" s="1">
        <v>45306</v>
      </c>
      <c r="B214" t="s">
        <v>38</v>
      </c>
      <c r="C214" t="s">
        <v>241</v>
      </c>
      <c r="D214" t="s">
        <v>27</v>
      </c>
      <c r="E214" t="s">
        <v>22</v>
      </c>
      <c r="F214" t="s">
        <v>32</v>
      </c>
      <c r="G214" t="s">
        <v>37</v>
      </c>
      <c r="H214" t="s">
        <v>24</v>
      </c>
      <c r="I214" t="s">
        <v>33</v>
      </c>
      <c r="J214">
        <v>8.24</v>
      </c>
      <c r="K214">
        <v>102</v>
      </c>
      <c r="L214" t="s">
        <v>34</v>
      </c>
      <c r="M214" t="str">
        <f t="shared" si="6"/>
        <v>Delayed</v>
      </c>
      <c r="N214" t="str">
        <f t="shared" si="7"/>
        <v>Hyderabad → Mumbai</v>
      </c>
    </row>
    <row r="215" spans="1:14">
      <c r="A215" s="1">
        <v>45321</v>
      </c>
      <c r="B215" t="s">
        <v>45</v>
      </c>
      <c r="C215" t="s">
        <v>242</v>
      </c>
      <c r="D215" t="s">
        <v>40</v>
      </c>
      <c r="E215" t="s">
        <v>23</v>
      </c>
      <c r="F215" t="s">
        <v>17</v>
      </c>
      <c r="G215" t="s">
        <v>37</v>
      </c>
      <c r="H215" t="s">
        <v>17</v>
      </c>
      <c r="I215" t="s">
        <v>19</v>
      </c>
      <c r="J215">
        <v>7</v>
      </c>
      <c r="K215">
        <v>0</v>
      </c>
      <c r="L215" t="s">
        <v>20</v>
      </c>
      <c r="M215" t="str">
        <f t="shared" si="6"/>
        <v>On Time</v>
      </c>
      <c r="N215" t="str">
        <f t="shared" si="7"/>
        <v>Kolkata → Bangalore</v>
      </c>
    </row>
    <row r="216" spans="1:14">
      <c r="A216" s="1">
        <v>45346</v>
      </c>
      <c r="B216" t="s">
        <v>13</v>
      </c>
      <c r="C216" t="s">
        <v>243</v>
      </c>
      <c r="D216" t="s">
        <v>40</v>
      </c>
      <c r="E216" t="s">
        <v>15</v>
      </c>
      <c r="F216" t="s">
        <v>31</v>
      </c>
      <c r="G216" t="s">
        <v>18</v>
      </c>
      <c r="H216" t="s">
        <v>32</v>
      </c>
      <c r="I216" t="s">
        <v>19</v>
      </c>
      <c r="J216">
        <v>1.6</v>
      </c>
      <c r="K216">
        <v>0</v>
      </c>
      <c r="L216" t="s">
        <v>20</v>
      </c>
      <c r="M216" t="str">
        <f t="shared" si="6"/>
        <v>On Time</v>
      </c>
      <c r="N216" t="str">
        <f t="shared" si="7"/>
        <v>Kolkata → Delhi</v>
      </c>
    </row>
    <row r="217" spans="1:14">
      <c r="A217" s="1">
        <v>45321</v>
      </c>
      <c r="B217" t="s">
        <v>29</v>
      </c>
      <c r="C217" t="s">
        <v>244</v>
      </c>
      <c r="D217" t="s">
        <v>15</v>
      </c>
      <c r="E217" t="s">
        <v>40</v>
      </c>
      <c r="F217" t="s">
        <v>24</v>
      </c>
      <c r="G217" t="s">
        <v>37</v>
      </c>
      <c r="H217" t="s">
        <v>32</v>
      </c>
      <c r="I217" t="s">
        <v>19</v>
      </c>
      <c r="J217">
        <v>1.68</v>
      </c>
      <c r="K217">
        <v>5</v>
      </c>
      <c r="L217" t="s">
        <v>25</v>
      </c>
      <c r="M217" t="str">
        <f t="shared" si="6"/>
        <v>Delayed</v>
      </c>
      <c r="N217" t="str">
        <f t="shared" si="7"/>
        <v>Delhi → Kolkata</v>
      </c>
    </row>
    <row r="218" spans="1:14">
      <c r="A218" s="1">
        <v>45309</v>
      </c>
      <c r="B218" t="s">
        <v>35</v>
      </c>
      <c r="C218" t="s">
        <v>245</v>
      </c>
      <c r="D218" t="s">
        <v>23</v>
      </c>
      <c r="E218" t="s">
        <v>15</v>
      </c>
      <c r="F218" t="s">
        <v>24</v>
      </c>
      <c r="G218" t="s">
        <v>18</v>
      </c>
      <c r="H218" t="s">
        <v>32</v>
      </c>
      <c r="I218" t="s">
        <v>19</v>
      </c>
      <c r="J218">
        <v>4.03</v>
      </c>
      <c r="K218">
        <v>0</v>
      </c>
      <c r="L218" t="s">
        <v>20</v>
      </c>
      <c r="M218" t="str">
        <f t="shared" si="6"/>
        <v>On Time</v>
      </c>
      <c r="N218" t="str">
        <f t="shared" si="7"/>
        <v>Bangalore → Delhi</v>
      </c>
    </row>
    <row r="219" spans="1:14">
      <c r="A219" s="1">
        <v>45325</v>
      </c>
      <c r="B219" t="s">
        <v>29</v>
      </c>
      <c r="C219" t="s">
        <v>246</v>
      </c>
      <c r="D219" t="s">
        <v>23</v>
      </c>
      <c r="E219" t="s">
        <v>16</v>
      </c>
      <c r="F219" t="s">
        <v>32</v>
      </c>
      <c r="G219" t="s">
        <v>37</v>
      </c>
      <c r="H219" t="s">
        <v>31</v>
      </c>
      <c r="I219" t="s">
        <v>33</v>
      </c>
      <c r="J219">
        <v>11.9</v>
      </c>
      <c r="K219">
        <v>0</v>
      </c>
      <c r="L219" t="s">
        <v>20</v>
      </c>
      <c r="M219" t="str">
        <f t="shared" si="6"/>
        <v>On Time</v>
      </c>
      <c r="N219" t="str">
        <f t="shared" si="7"/>
        <v>Bangalore → Chennai</v>
      </c>
    </row>
    <row r="220" spans="1:14">
      <c r="A220" s="1">
        <v>45311</v>
      </c>
      <c r="B220" t="s">
        <v>13</v>
      </c>
      <c r="C220" t="s">
        <v>247</v>
      </c>
      <c r="D220" t="s">
        <v>40</v>
      </c>
      <c r="E220" t="s">
        <v>15</v>
      </c>
      <c r="F220" t="s">
        <v>31</v>
      </c>
      <c r="G220" t="s">
        <v>37</v>
      </c>
      <c r="H220" t="s">
        <v>32</v>
      </c>
      <c r="I220" t="s">
        <v>33</v>
      </c>
      <c r="J220">
        <v>8.19</v>
      </c>
      <c r="K220">
        <v>75</v>
      </c>
      <c r="L220" t="s">
        <v>25</v>
      </c>
      <c r="M220" t="str">
        <f t="shared" si="6"/>
        <v>Delayed</v>
      </c>
      <c r="N220" t="str">
        <f t="shared" si="7"/>
        <v>Kolkata → Delhi</v>
      </c>
    </row>
    <row r="221" spans="1:14">
      <c r="A221" s="1">
        <v>45302</v>
      </c>
      <c r="B221" t="s">
        <v>13</v>
      </c>
      <c r="C221" t="s">
        <v>248</v>
      </c>
      <c r="D221" t="s">
        <v>16</v>
      </c>
      <c r="E221" t="s">
        <v>27</v>
      </c>
      <c r="F221" t="s">
        <v>28</v>
      </c>
      <c r="G221" t="s">
        <v>18</v>
      </c>
      <c r="H221" t="s">
        <v>24</v>
      </c>
      <c r="I221" t="s">
        <v>19</v>
      </c>
      <c r="J221">
        <v>10.96</v>
      </c>
      <c r="K221">
        <v>0</v>
      </c>
      <c r="L221" t="s">
        <v>20</v>
      </c>
      <c r="M221" t="str">
        <f t="shared" si="6"/>
        <v>On Time</v>
      </c>
      <c r="N221" t="str">
        <f t="shared" si="7"/>
        <v>Chennai → Hyderabad</v>
      </c>
    </row>
    <row r="222" spans="1:14">
      <c r="A222" s="1">
        <v>45348</v>
      </c>
      <c r="B222" t="s">
        <v>35</v>
      </c>
      <c r="C222" t="s">
        <v>249</v>
      </c>
      <c r="D222" t="s">
        <v>16</v>
      </c>
      <c r="E222" t="s">
        <v>23</v>
      </c>
      <c r="F222" t="s">
        <v>31</v>
      </c>
      <c r="G222" t="s">
        <v>37</v>
      </c>
      <c r="H222" t="s">
        <v>31</v>
      </c>
      <c r="I222" t="s">
        <v>19</v>
      </c>
      <c r="J222">
        <v>11.6</v>
      </c>
      <c r="K222">
        <v>27</v>
      </c>
      <c r="L222" t="s">
        <v>25</v>
      </c>
      <c r="M222" t="str">
        <f t="shared" si="6"/>
        <v>Delayed</v>
      </c>
      <c r="N222" t="str">
        <f t="shared" si="7"/>
        <v>Chennai → Bangalore</v>
      </c>
    </row>
    <row r="223" spans="1:14">
      <c r="A223" s="1">
        <v>45301</v>
      </c>
      <c r="B223" t="s">
        <v>38</v>
      </c>
      <c r="C223" t="s">
        <v>250</v>
      </c>
      <c r="D223" t="s">
        <v>15</v>
      </c>
      <c r="E223" t="s">
        <v>16</v>
      </c>
      <c r="F223" t="s">
        <v>17</v>
      </c>
      <c r="G223" t="s">
        <v>18</v>
      </c>
      <c r="H223" t="s">
        <v>24</v>
      </c>
      <c r="I223" t="s">
        <v>33</v>
      </c>
      <c r="J223">
        <v>9.43</v>
      </c>
      <c r="K223">
        <v>91</v>
      </c>
      <c r="L223" t="s">
        <v>52</v>
      </c>
      <c r="M223" t="str">
        <f t="shared" si="6"/>
        <v>Delayed</v>
      </c>
      <c r="N223" t="str">
        <f t="shared" si="7"/>
        <v>Delhi → Chennai</v>
      </c>
    </row>
    <row r="224" spans="1:14">
      <c r="A224" s="1">
        <v>45342</v>
      </c>
      <c r="B224" t="s">
        <v>13</v>
      </c>
      <c r="C224" t="s">
        <v>251</v>
      </c>
      <c r="D224" t="s">
        <v>27</v>
      </c>
      <c r="E224" t="s">
        <v>23</v>
      </c>
      <c r="F224" t="s">
        <v>31</v>
      </c>
      <c r="G224" t="s">
        <v>37</v>
      </c>
      <c r="H224" t="s">
        <v>31</v>
      </c>
      <c r="I224" t="s">
        <v>19</v>
      </c>
      <c r="J224">
        <v>5.08</v>
      </c>
      <c r="K224">
        <v>0</v>
      </c>
      <c r="L224" t="s">
        <v>20</v>
      </c>
      <c r="M224" t="str">
        <f t="shared" si="6"/>
        <v>On Time</v>
      </c>
      <c r="N224" t="str">
        <f t="shared" si="7"/>
        <v>Hyderabad → Bangalore</v>
      </c>
    </row>
    <row r="225" spans="1:14">
      <c r="A225" s="1">
        <v>45331</v>
      </c>
      <c r="B225" t="s">
        <v>35</v>
      </c>
      <c r="C225" t="s">
        <v>252</v>
      </c>
      <c r="D225" t="s">
        <v>16</v>
      </c>
      <c r="E225" t="s">
        <v>23</v>
      </c>
      <c r="F225" t="s">
        <v>31</v>
      </c>
      <c r="G225" t="s">
        <v>37</v>
      </c>
      <c r="H225" t="s">
        <v>28</v>
      </c>
      <c r="I225" t="s">
        <v>33</v>
      </c>
      <c r="J225">
        <v>11.38</v>
      </c>
      <c r="K225">
        <v>34</v>
      </c>
      <c r="L225" t="s">
        <v>34</v>
      </c>
      <c r="M225" t="str">
        <f t="shared" si="6"/>
        <v>Delayed</v>
      </c>
      <c r="N225" t="str">
        <f t="shared" si="7"/>
        <v>Chennai → Bangalore</v>
      </c>
    </row>
    <row r="226" spans="1:14">
      <c r="A226" s="1">
        <v>45303</v>
      </c>
      <c r="B226" t="s">
        <v>35</v>
      </c>
      <c r="C226" t="s">
        <v>253</v>
      </c>
      <c r="D226" t="s">
        <v>40</v>
      </c>
      <c r="E226" t="s">
        <v>16</v>
      </c>
      <c r="F226" t="s">
        <v>31</v>
      </c>
      <c r="G226" t="s">
        <v>37</v>
      </c>
      <c r="H226" t="s">
        <v>24</v>
      </c>
      <c r="I226" t="s">
        <v>19</v>
      </c>
      <c r="J226">
        <v>2.36</v>
      </c>
      <c r="K226">
        <v>0</v>
      </c>
      <c r="L226" t="s">
        <v>20</v>
      </c>
      <c r="M226" t="str">
        <f t="shared" si="6"/>
        <v>On Time</v>
      </c>
      <c r="N226" t="str">
        <f t="shared" si="7"/>
        <v>Kolkata → Chennai</v>
      </c>
    </row>
    <row r="227" spans="1:14">
      <c r="A227" s="1">
        <v>45316</v>
      </c>
      <c r="B227" t="s">
        <v>45</v>
      </c>
      <c r="C227" t="s">
        <v>254</v>
      </c>
      <c r="D227" t="s">
        <v>40</v>
      </c>
      <c r="E227" t="s">
        <v>16</v>
      </c>
      <c r="F227" t="s">
        <v>28</v>
      </c>
      <c r="G227" t="s">
        <v>18</v>
      </c>
      <c r="H227" t="s">
        <v>28</v>
      </c>
      <c r="I227" t="s">
        <v>19</v>
      </c>
      <c r="J227">
        <v>5.28</v>
      </c>
      <c r="K227">
        <v>5</v>
      </c>
      <c r="L227" t="s">
        <v>52</v>
      </c>
      <c r="M227" t="str">
        <f t="shared" si="6"/>
        <v>Delayed</v>
      </c>
      <c r="N227" t="str">
        <f t="shared" si="7"/>
        <v>Kolkata → Chennai</v>
      </c>
    </row>
    <row r="228" spans="1:14">
      <c r="A228" s="1">
        <v>45298</v>
      </c>
      <c r="B228" t="s">
        <v>45</v>
      </c>
      <c r="C228" t="s">
        <v>255</v>
      </c>
      <c r="D228" t="s">
        <v>15</v>
      </c>
      <c r="E228" t="s">
        <v>23</v>
      </c>
      <c r="F228" t="s">
        <v>32</v>
      </c>
      <c r="G228" t="s">
        <v>37</v>
      </c>
      <c r="H228" t="s">
        <v>32</v>
      </c>
      <c r="I228" t="s">
        <v>19</v>
      </c>
      <c r="J228">
        <v>5.22</v>
      </c>
      <c r="K228">
        <v>0</v>
      </c>
      <c r="L228" t="s">
        <v>20</v>
      </c>
      <c r="M228" t="str">
        <f t="shared" si="6"/>
        <v>On Time</v>
      </c>
      <c r="N228" t="str">
        <f t="shared" si="7"/>
        <v>Delhi → Bangalore</v>
      </c>
    </row>
    <row r="229" spans="1:14">
      <c r="A229" s="1">
        <v>45330</v>
      </c>
      <c r="B229" t="s">
        <v>35</v>
      </c>
      <c r="C229" t="s">
        <v>226</v>
      </c>
      <c r="D229" t="s">
        <v>23</v>
      </c>
      <c r="E229" t="s">
        <v>27</v>
      </c>
      <c r="F229" t="s">
        <v>31</v>
      </c>
      <c r="G229" t="s">
        <v>37</v>
      </c>
      <c r="H229" t="s">
        <v>28</v>
      </c>
      <c r="I229" t="s">
        <v>33</v>
      </c>
      <c r="J229">
        <v>9.11</v>
      </c>
      <c r="K229">
        <v>0</v>
      </c>
      <c r="L229" t="s">
        <v>20</v>
      </c>
      <c r="M229" t="str">
        <f t="shared" si="6"/>
        <v>On Time</v>
      </c>
      <c r="N229" t="str">
        <f t="shared" si="7"/>
        <v>Bangalore → Hyderabad</v>
      </c>
    </row>
    <row r="230" spans="1:14">
      <c r="A230" s="1">
        <v>45349</v>
      </c>
      <c r="B230" t="s">
        <v>45</v>
      </c>
      <c r="C230" t="s">
        <v>256</v>
      </c>
      <c r="D230" t="s">
        <v>27</v>
      </c>
      <c r="E230" t="s">
        <v>40</v>
      </c>
      <c r="F230" t="s">
        <v>17</v>
      </c>
      <c r="G230" t="s">
        <v>18</v>
      </c>
      <c r="H230" t="s">
        <v>32</v>
      </c>
      <c r="I230" t="s">
        <v>19</v>
      </c>
      <c r="J230">
        <v>6.68</v>
      </c>
      <c r="K230">
        <v>39</v>
      </c>
      <c r="L230" t="s">
        <v>52</v>
      </c>
      <c r="M230" t="str">
        <f t="shared" si="6"/>
        <v>Delayed</v>
      </c>
      <c r="N230" t="str">
        <f t="shared" si="7"/>
        <v>Hyderabad → Kolkata</v>
      </c>
    </row>
    <row r="231" spans="1:14">
      <c r="A231" s="1">
        <v>45302</v>
      </c>
      <c r="B231" t="s">
        <v>38</v>
      </c>
      <c r="C231" t="s">
        <v>257</v>
      </c>
      <c r="D231" t="s">
        <v>23</v>
      </c>
      <c r="E231" t="s">
        <v>27</v>
      </c>
      <c r="F231" t="s">
        <v>28</v>
      </c>
      <c r="G231" t="s">
        <v>18</v>
      </c>
      <c r="H231" t="s">
        <v>32</v>
      </c>
      <c r="I231" t="s">
        <v>33</v>
      </c>
      <c r="J231">
        <v>9.07</v>
      </c>
      <c r="K231">
        <v>0</v>
      </c>
      <c r="L231" t="s">
        <v>20</v>
      </c>
      <c r="M231" t="str">
        <f t="shared" si="6"/>
        <v>On Time</v>
      </c>
      <c r="N231" t="str">
        <f t="shared" si="7"/>
        <v>Bangalore → Hyderabad</v>
      </c>
    </row>
    <row r="232" spans="1:14">
      <c r="A232" s="1">
        <v>45330</v>
      </c>
      <c r="B232" t="s">
        <v>35</v>
      </c>
      <c r="C232" t="s">
        <v>258</v>
      </c>
      <c r="D232" t="s">
        <v>22</v>
      </c>
      <c r="E232" t="s">
        <v>27</v>
      </c>
      <c r="F232" t="s">
        <v>31</v>
      </c>
      <c r="G232" t="s">
        <v>37</v>
      </c>
      <c r="H232" t="s">
        <v>17</v>
      </c>
      <c r="I232" t="s">
        <v>19</v>
      </c>
      <c r="J232">
        <v>5.49</v>
      </c>
      <c r="K232">
        <v>55</v>
      </c>
      <c r="L232" t="s">
        <v>34</v>
      </c>
      <c r="M232" t="str">
        <f t="shared" si="6"/>
        <v>Delayed</v>
      </c>
      <c r="N232" t="str">
        <f t="shared" si="7"/>
        <v>Mumbai → Hyderabad</v>
      </c>
    </row>
    <row r="233" spans="1:14">
      <c r="A233" s="1">
        <v>45313</v>
      </c>
      <c r="B233" t="s">
        <v>38</v>
      </c>
      <c r="C233" t="s">
        <v>259</v>
      </c>
      <c r="D233" t="s">
        <v>23</v>
      </c>
      <c r="E233" t="s">
        <v>27</v>
      </c>
      <c r="F233" t="s">
        <v>24</v>
      </c>
      <c r="G233" t="s">
        <v>37</v>
      </c>
      <c r="H233" t="s">
        <v>17</v>
      </c>
      <c r="I233" t="s">
        <v>33</v>
      </c>
      <c r="J233">
        <v>6.53</v>
      </c>
      <c r="K233">
        <v>0</v>
      </c>
      <c r="L233" t="s">
        <v>20</v>
      </c>
      <c r="M233" t="str">
        <f t="shared" si="6"/>
        <v>On Time</v>
      </c>
      <c r="N233" t="str">
        <f t="shared" si="7"/>
        <v>Bangalore → Hyderabad</v>
      </c>
    </row>
    <row r="234" spans="1:14">
      <c r="A234" s="1">
        <v>45317</v>
      </c>
      <c r="B234" t="s">
        <v>29</v>
      </c>
      <c r="C234" t="s">
        <v>260</v>
      </c>
      <c r="D234" t="s">
        <v>23</v>
      </c>
      <c r="E234" t="s">
        <v>27</v>
      </c>
      <c r="F234" t="s">
        <v>24</v>
      </c>
      <c r="G234" t="s">
        <v>37</v>
      </c>
      <c r="H234" t="s">
        <v>17</v>
      </c>
      <c r="I234" t="s">
        <v>33</v>
      </c>
      <c r="J234">
        <v>2.7</v>
      </c>
      <c r="K234">
        <v>40</v>
      </c>
      <c r="L234" t="s">
        <v>52</v>
      </c>
      <c r="M234" t="str">
        <f t="shared" si="6"/>
        <v>Delayed</v>
      </c>
      <c r="N234" t="str">
        <f t="shared" si="7"/>
        <v>Bangalore → Hyderabad</v>
      </c>
    </row>
    <row r="235" spans="1:14">
      <c r="A235" s="1">
        <v>45304</v>
      </c>
      <c r="B235" t="s">
        <v>35</v>
      </c>
      <c r="C235" t="s">
        <v>261</v>
      </c>
      <c r="D235" t="s">
        <v>27</v>
      </c>
      <c r="E235" t="s">
        <v>22</v>
      </c>
      <c r="F235" t="s">
        <v>24</v>
      </c>
      <c r="G235" t="s">
        <v>37</v>
      </c>
      <c r="H235" t="s">
        <v>31</v>
      </c>
      <c r="I235" t="s">
        <v>19</v>
      </c>
      <c r="J235">
        <v>2.23</v>
      </c>
      <c r="K235">
        <v>61</v>
      </c>
      <c r="L235" t="s">
        <v>34</v>
      </c>
      <c r="M235" t="str">
        <f t="shared" si="6"/>
        <v>Delayed</v>
      </c>
      <c r="N235" t="str">
        <f t="shared" si="7"/>
        <v>Hyderabad → Mumbai</v>
      </c>
    </row>
    <row r="236" spans="1:14">
      <c r="A236" s="1">
        <v>45342</v>
      </c>
      <c r="B236" t="s">
        <v>38</v>
      </c>
      <c r="C236" t="s">
        <v>262</v>
      </c>
      <c r="D236" t="s">
        <v>40</v>
      </c>
      <c r="E236" t="s">
        <v>16</v>
      </c>
      <c r="F236" t="s">
        <v>17</v>
      </c>
      <c r="G236" t="s">
        <v>18</v>
      </c>
      <c r="H236" t="s">
        <v>28</v>
      </c>
      <c r="I236" t="s">
        <v>33</v>
      </c>
      <c r="J236">
        <v>9.01</v>
      </c>
      <c r="K236">
        <v>0</v>
      </c>
      <c r="L236" t="s">
        <v>20</v>
      </c>
      <c r="M236" t="str">
        <f t="shared" si="6"/>
        <v>On Time</v>
      </c>
      <c r="N236" t="str">
        <f t="shared" si="7"/>
        <v>Kolkata → Chennai</v>
      </c>
    </row>
    <row r="237" spans="1:14">
      <c r="A237" s="1">
        <v>45316</v>
      </c>
      <c r="B237" t="s">
        <v>13</v>
      </c>
      <c r="C237" t="s">
        <v>263</v>
      </c>
      <c r="D237" t="s">
        <v>16</v>
      </c>
      <c r="E237" t="s">
        <v>40</v>
      </c>
      <c r="F237" t="s">
        <v>32</v>
      </c>
      <c r="G237" t="s">
        <v>37</v>
      </c>
      <c r="H237" t="s">
        <v>24</v>
      </c>
      <c r="I237" t="s">
        <v>33</v>
      </c>
      <c r="J237">
        <v>9.8000000000000007</v>
      </c>
      <c r="K237">
        <v>0</v>
      </c>
      <c r="L237" t="s">
        <v>20</v>
      </c>
      <c r="M237" t="str">
        <f t="shared" si="6"/>
        <v>On Time</v>
      </c>
      <c r="N237" t="str">
        <f t="shared" si="7"/>
        <v>Chennai → Kolkata</v>
      </c>
    </row>
    <row r="238" spans="1:14">
      <c r="A238" s="1">
        <v>45336</v>
      </c>
      <c r="B238" t="s">
        <v>35</v>
      </c>
      <c r="C238" t="s">
        <v>264</v>
      </c>
      <c r="D238" t="s">
        <v>27</v>
      </c>
      <c r="E238" t="s">
        <v>15</v>
      </c>
      <c r="F238" t="s">
        <v>31</v>
      </c>
      <c r="G238" t="s">
        <v>37</v>
      </c>
      <c r="H238" t="s">
        <v>17</v>
      </c>
      <c r="I238" t="s">
        <v>19</v>
      </c>
      <c r="J238">
        <v>7.41</v>
      </c>
      <c r="K238">
        <v>0</v>
      </c>
      <c r="L238" t="s">
        <v>20</v>
      </c>
      <c r="M238" t="str">
        <f t="shared" si="6"/>
        <v>On Time</v>
      </c>
      <c r="N238" t="str">
        <f t="shared" si="7"/>
        <v>Hyderabad → Delhi</v>
      </c>
    </row>
    <row r="239" spans="1:14">
      <c r="A239" s="1">
        <v>45335</v>
      </c>
      <c r="B239" t="s">
        <v>38</v>
      </c>
      <c r="C239" t="s">
        <v>265</v>
      </c>
      <c r="D239" t="s">
        <v>23</v>
      </c>
      <c r="E239" t="s">
        <v>27</v>
      </c>
      <c r="F239" t="s">
        <v>31</v>
      </c>
      <c r="G239" t="s">
        <v>18</v>
      </c>
      <c r="H239" t="s">
        <v>31</v>
      </c>
      <c r="I239" t="s">
        <v>33</v>
      </c>
      <c r="J239">
        <v>6.18</v>
      </c>
      <c r="K239">
        <v>0</v>
      </c>
      <c r="L239" t="s">
        <v>20</v>
      </c>
      <c r="M239" t="str">
        <f t="shared" si="6"/>
        <v>On Time</v>
      </c>
      <c r="N239" t="str">
        <f t="shared" si="7"/>
        <v>Bangalore → Hyderabad</v>
      </c>
    </row>
    <row r="240" spans="1:14">
      <c r="A240" s="1">
        <v>45321</v>
      </c>
      <c r="B240" t="s">
        <v>35</v>
      </c>
      <c r="C240" t="s">
        <v>266</v>
      </c>
      <c r="D240" t="s">
        <v>40</v>
      </c>
      <c r="E240" t="s">
        <v>27</v>
      </c>
      <c r="F240" t="s">
        <v>17</v>
      </c>
      <c r="G240" t="s">
        <v>18</v>
      </c>
      <c r="H240" t="s">
        <v>28</v>
      </c>
      <c r="I240" t="s">
        <v>33</v>
      </c>
      <c r="J240">
        <v>11.17</v>
      </c>
      <c r="K240">
        <v>18</v>
      </c>
      <c r="L240" t="s">
        <v>52</v>
      </c>
      <c r="M240" t="str">
        <f t="shared" si="6"/>
        <v>Delayed</v>
      </c>
      <c r="N240" t="str">
        <f t="shared" si="7"/>
        <v>Kolkata → Hyderabad</v>
      </c>
    </row>
    <row r="241" spans="1:14">
      <c r="A241" s="1">
        <v>45299</v>
      </c>
      <c r="B241" t="s">
        <v>45</v>
      </c>
      <c r="C241" t="s">
        <v>267</v>
      </c>
      <c r="D241" t="s">
        <v>23</v>
      </c>
      <c r="E241" t="s">
        <v>16</v>
      </c>
      <c r="F241" t="s">
        <v>28</v>
      </c>
      <c r="G241" t="s">
        <v>18</v>
      </c>
      <c r="H241" t="s">
        <v>32</v>
      </c>
      <c r="I241" t="s">
        <v>33</v>
      </c>
      <c r="J241">
        <v>6.1</v>
      </c>
      <c r="K241">
        <v>49</v>
      </c>
      <c r="L241" t="s">
        <v>25</v>
      </c>
      <c r="M241" t="str">
        <f t="shared" si="6"/>
        <v>Delayed</v>
      </c>
      <c r="N241" t="str">
        <f t="shared" si="7"/>
        <v>Bangalore → Chennai</v>
      </c>
    </row>
    <row r="242" spans="1:14">
      <c r="A242" s="1">
        <v>45320</v>
      </c>
      <c r="B242" t="s">
        <v>29</v>
      </c>
      <c r="C242" t="s">
        <v>268</v>
      </c>
      <c r="D242" t="s">
        <v>15</v>
      </c>
      <c r="E242" t="s">
        <v>16</v>
      </c>
      <c r="F242" t="s">
        <v>31</v>
      </c>
      <c r="G242" t="s">
        <v>18</v>
      </c>
      <c r="H242" t="s">
        <v>31</v>
      </c>
      <c r="I242" t="s">
        <v>33</v>
      </c>
      <c r="J242">
        <v>8.61</v>
      </c>
      <c r="K242">
        <v>0</v>
      </c>
      <c r="L242" t="s">
        <v>20</v>
      </c>
      <c r="M242" t="str">
        <f t="shared" si="6"/>
        <v>On Time</v>
      </c>
      <c r="N242" t="str">
        <f t="shared" si="7"/>
        <v>Delhi → Chennai</v>
      </c>
    </row>
    <row r="243" spans="1:14">
      <c r="A243" s="1">
        <v>45351</v>
      </c>
      <c r="B243" t="s">
        <v>45</v>
      </c>
      <c r="C243" t="s">
        <v>269</v>
      </c>
      <c r="D243" t="s">
        <v>27</v>
      </c>
      <c r="E243" t="s">
        <v>22</v>
      </c>
      <c r="F243" t="s">
        <v>24</v>
      </c>
      <c r="G243" t="s">
        <v>37</v>
      </c>
      <c r="H243" t="s">
        <v>17</v>
      </c>
      <c r="I243" t="s">
        <v>33</v>
      </c>
      <c r="J243">
        <v>9.8800000000000008</v>
      </c>
      <c r="K243">
        <v>0</v>
      </c>
      <c r="L243" t="s">
        <v>20</v>
      </c>
      <c r="M243" t="str">
        <f t="shared" si="6"/>
        <v>On Time</v>
      </c>
      <c r="N243" t="str">
        <f t="shared" si="7"/>
        <v>Hyderabad → Mumbai</v>
      </c>
    </row>
    <row r="244" spans="1:14">
      <c r="A244" s="1">
        <v>45303</v>
      </c>
      <c r="B244" t="s">
        <v>45</v>
      </c>
      <c r="C244" t="s">
        <v>270</v>
      </c>
      <c r="D244" t="s">
        <v>40</v>
      </c>
      <c r="E244" t="s">
        <v>16</v>
      </c>
      <c r="F244" t="s">
        <v>32</v>
      </c>
      <c r="G244" t="s">
        <v>18</v>
      </c>
      <c r="H244" t="s">
        <v>31</v>
      </c>
      <c r="I244" t="s">
        <v>33</v>
      </c>
      <c r="J244">
        <v>1.55</v>
      </c>
      <c r="K244">
        <v>80</v>
      </c>
      <c r="L244" t="s">
        <v>52</v>
      </c>
      <c r="M244" t="str">
        <f t="shared" si="6"/>
        <v>Delayed</v>
      </c>
      <c r="N244" t="str">
        <f t="shared" si="7"/>
        <v>Kolkata → Chennai</v>
      </c>
    </row>
    <row r="245" spans="1:14">
      <c r="A245" s="1">
        <v>45305</v>
      </c>
      <c r="B245" t="s">
        <v>29</v>
      </c>
      <c r="C245" t="s">
        <v>271</v>
      </c>
      <c r="D245" t="s">
        <v>40</v>
      </c>
      <c r="E245" t="s">
        <v>15</v>
      </c>
      <c r="F245" t="s">
        <v>24</v>
      </c>
      <c r="G245" t="s">
        <v>18</v>
      </c>
      <c r="H245" t="s">
        <v>31</v>
      </c>
      <c r="I245" t="s">
        <v>33</v>
      </c>
      <c r="J245">
        <v>6.3</v>
      </c>
      <c r="K245">
        <v>0</v>
      </c>
      <c r="L245" t="s">
        <v>20</v>
      </c>
      <c r="M245" t="str">
        <f t="shared" si="6"/>
        <v>On Time</v>
      </c>
      <c r="N245" t="str">
        <f t="shared" si="7"/>
        <v>Kolkata → Delhi</v>
      </c>
    </row>
    <row r="246" spans="1:14">
      <c r="A246" s="1">
        <v>45334</v>
      </c>
      <c r="B246" t="s">
        <v>38</v>
      </c>
      <c r="C246" t="s">
        <v>272</v>
      </c>
      <c r="D246" t="s">
        <v>27</v>
      </c>
      <c r="E246" t="s">
        <v>23</v>
      </c>
      <c r="F246" t="s">
        <v>24</v>
      </c>
      <c r="G246" t="s">
        <v>37</v>
      </c>
      <c r="H246" t="s">
        <v>32</v>
      </c>
      <c r="I246" t="s">
        <v>19</v>
      </c>
      <c r="J246">
        <v>7.98</v>
      </c>
      <c r="K246">
        <v>49</v>
      </c>
      <c r="L246" t="s">
        <v>52</v>
      </c>
      <c r="M246" t="str">
        <f t="shared" si="6"/>
        <v>Delayed</v>
      </c>
      <c r="N246" t="str">
        <f t="shared" si="7"/>
        <v>Hyderabad → Bangalore</v>
      </c>
    </row>
    <row r="247" spans="1:14">
      <c r="A247" s="1">
        <v>45335</v>
      </c>
      <c r="B247" t="s">
        <v>29</v>
      </c>
      <c r="C247" t="s">
        <v>273</v>
      </c>
      <c r="D247" t="s">
        <v>27</v>
      </c>
      <c r="E247" t="s">
        <v>40</v>
      </c>
      <c r="F247" t="s">
        <v>31</v>
      </c>
      <c r="G247" t="s">
        <v>37</v>
      </c>
      <c r="H247" t="s">
        <v>17</v>
      </c>
      <c r="I247" t="s">
        <v>19</v>
      </c>
      <c r="J247">
        <v>3.42</v>
      </c>
      <c r="K247">
        <v>35</v>
      </c>
      <c r="L247" t="s">
        <v>25</v>
      </c>
      <c r="M247" t="str">
        <f t="shared" si="6"/>
        <v>Delayed</v>
      </c>
      <c r="N247" t="str">
        <f t="shared" si="7"/>
        <v>Hyderabad → Kolkata</v>
      </c>
    </row>
    <row r="248" spans="1:14">
      <c r="A248" s="1">
        <v>45301</v>
      </c>
      <c r="B248" t="s">
        <v>35</v>
      </c>
      <c r="C248" t="s">
        <v>264</v>
      </c>
      <c r="D248" t="s">
        <v>16</v>
      </c>
      <c r="E248" t="s">
        <v>27</v>
      </c>
      <c r="F248" t="s">
        <v>24</v>
      </c>
      <c r="G248" t="s">
        <v>37</v>
      </c>
      <c r="H248" t="s">
        <v>17</v>
      </c>
      <c r="I248" t="s">
        <v>33</v>
      </c>
      <c r="J248">
        <v>7.14</v>
      </c>
      <c r="K248">
        <v>28</v>
      </c>
      <c r="L248" t="s">
        <v>34</v>
      </c>
      <c r="M248" t="str">
        <f t="shared" si="6"/>
        <v>Delayed</v>
      </c>
      <c r="N248" t="str">
        <f t="shared" si="7"/>
        <v>Chennai → Hyderabad</v>
      </c>
    </row>
    <row r="249" spans="1:14">
      <c r="A249" s="1">
        <v>45351</v>
      </c>
      <c r="B249" t="s">
        <v>45</v>
      </c>
      <c r="C249" t="s">
        <v>274</v>
      </c>
      <c r="D249" t="s">
        <v>27</v>
      </c>
      <c r="E249" t="s">
        <v>22</v>
      </c>
      <c r="F249" t="s">
        <v>32</v>
      </c>
      <c r="G249" t="s">
        <v>18</v>
      </c>
      <c r="H249" t="s">
        <v>28</v>
      </c>
      <c r="I249" t="s">
        <v>19</v>
      </c>
      <c r="J249">
        <v>2.06</v>
      </c>
      <c r="K249">
        <v>45</v>
      </c>
      <c r="L249" t="s">
        <v>34</v>
      </c>
      <c r="M249" t="str">
        <f t="shared" si="6"/>
        <v>Delayed</v>
      </c>
      <c r="N249" t="str">
        <f t="shared" si="7"/>
        <v>Hyderabad → Mumbai</v>
      </c>
    </row>
    <row r="250" spans="1:14">
      <c r="A250" s="1">
        <v>45352</v>
      </c>
      <c r="B250" t="s">
        <v>13</v>
      </c>
      <c r="C250" t="s">
        <v>275</v>
      </c>
      <c r="D250" t="s">
        <v>16</v>
      </c>
      <c r="E250" t="s">
        <v>22</v>
      </c>
      <c r="F250" t="s">
        <v>17</v>
      </c>
      <c r="G250" t="s">
        <v>37</v>
      </c>
      <c r="H250" t="s">
        <v>32</v>
      </c>
      <c r="I250" t="s">
        <v>33</v>
      </c>
      <c r="J250">
        <v>8.9600000000000009</v>
      </c>
      <c r="K250">
        <v>92</v>
      </c>
      <c r="L250" t="s">
        <v>52</v>
      </c>
      <c r="M250" t="str">
        <f t="shared" si="6"/>
        <v>Delayed</v>
      </c>
      <c r="N250" t="str">
        <f t="shared" si="7"/>
        <v>Chennai → Mumbai</v>
      </c>
    </row>
    <row r="251" spans="1:14">
      <c r="A251" s="1">
        <v>45323</v>
      </c>
      <c r="B251" t="s">
        <v>45</v>
      </c>
      <c r="C251" t="s">
        <v>276</v>
      </c>
      <c r="D251" t="s">
        <v>15</v>
      </c>
      <c r="E251" t="s">
        <v>40</v>
      </c>
      <c r="F251" t="s">
        <v>31</v>
      </c>
      <c r="G251" t="s">
        <v>37</v>
      </c>
      <c r="H251" t="s">
        <v>17</v>
      </c>
      <c r="I251" t="s">
        <v>19</v>
      </c>
      <c r="J251">
        <v>7.14</v>
      </c>
      <c r="K251">
        <v>0</v>
      </c>
      <c r="L251" t="s">
        <v>20</v>
      </c>
      <c r="M251" t="str">
        <f t="shared" si="6"/>
        <v>On Time</v>
      </c>
      <c r="N251" t="str">
        <f t="shared" si="7"/>
        <v>Delhi → Kolkata</v>
      </c>
    </row>
    <row r="252" spans="1:14">
      <c r="A252" s="1">
        <v>45341</v>
      </c>
      <c r="B252" t="s">
        <v>38</v>
      </c>
      <c r="C252" t="s">
        <v>277</v>
      </c>
      <c r="D252" t="s">
        <v>27</v>
      </c>
      <c r="E252" t="s">
        <v>16</v>
      </c>
      <c r="F252" t="s">
        <v>24</v>
      </c>
      <c r="G252" t="s">
        <v>18</v>
      </c>
      <c r="H252" t="s">
        <v>24</v>
      </c>
      <c r="I252" t="s">
        <v>19</v>
      </c>
      <c r="J252">
        <v>10.14</v>
      </c>
      <c r="K252">
        <v>39</v>
      </c>
      <c r="L252" t="s">
        <v>34</v>
      </c>
      <c r="M252" t="str">
        <f t="shared" si="6"/>
        <v>Delayed</v>
      </c>
      <c r="N252" t="str">
        <f t="shared" si="7"/>
        <v>Hyderabad → Chennai</v>
      </c>
    </row>
    <row r="253" spans="1:14">
      <c r="A253" s="1">
        <v>45340</v>
      </c>
      <c r="B253" t="s">
        <v>38</v>
      </c>
      <c r="C253" t="s">
        <v>229</v>
      </c>
      <c r="D253" t="s">
        <v>27</v>
      </c>
      <c r="E253" t="s">
        <v>22</v>
      </c>
      <c r="F253" t="s">
        <v>32</v>
      </c>
      <c r="G253" t="s">
        <v>18</v>
      </c>
      <c r="H253" t="s">
        <v>31</v>
      </c>
      <c r="I253" t="s">
        <v>33</v>
      </c>
      <c r="J253">
        <v>6.22</v>
      </c>
      <c r="K253">
        <v>0</v>
      </c>
      <c r="L253" t="s">
        <v>20</v>
      </c>
      <c r="M253" t="str">
        <f t="shared" si="6"/>
        <v>On Time</v>
      </c>
      <c r="N253" t="str">
        <f t="shared" si="7"/>
        <v>Hyderabad → Mumbai</v>
      </c>
    </row>
    <row r="254" spans="1:14">
      <c r="A254" s="1">
        <v>45347</v>
      </c>
      <c r="B254" t="s">
        <v>13</v>
      </c>
      <c r="C254" t="s">
        <v>278</v>
      </c>
      <c r="D254" t="s">
        <v>16</v>
      </c>
      <c r="E254" t="s">
        <v>15</v>
      </c>
      <c r="F254" t="s">
        <v>17</v>
      </c>
      <c r="G254" t="s">
        <v>37</v>
      </c>
      <c r="H254" t="s">
        <v>17</v>
      </c>
      <c r="I254" t="s">
        <v>33</v>
      </c>
      <c r="J254">
        <v>9.74</v>
      </c>
      <c r="K254">
        <v>0</v>
      </c>
      <c r="L254" t="s">
        <v>20</v>
      </c>
      <c r="M254" t="str">
        <f t="shared" si="6"/>
        <v>On Time</v>
      </c>
      <c r="N254" t="str">
        <f t="shared" si="7"/>
        <v>Chennai → Delhi</v>
      </c>
    </row>
    <row r="255" spans="1:14">
      <c r="A255" s="1">
        <v>45305</v>
      </c>
      <c r="B255" t="s">
        <v>13</v>
      </c>
      <c r="C255" t="s">
        <v>279</v>
      </c>
      <c r="D255" t="s">
        <v>27</v>
      </c>
      <c r="E255" t="s">
        <v>23</v>
      </c>
      <c r="F255" t="s">
        <v>24</v>
      </c>
      <c r="G255" t="s">
        <v>18</v>
      </c>
      <c r="H255" t="s">
        <v>28</v>
      </c>
      <c r="I255" t="s">
        <v>33</v>
      </c>
      <c r="J255">
        <v>7.51</v>
      </c>
      <c r="K255">
        <v>95</v>
      </c>
      <c r="L255" t="s">
        <v>52</v>
      </c>
      <c r="M255" t="str">
        <f t="shared" si="6"/>
        <v>Delayed</v>
      </c>
      <c r="N255" t="str">
        <f t="shared" si="7"/>
        <v>Hyderabad → Bangalore</v>
      </c>
    </row>
    <row r="256" spans="1:14">
      <c r="A256" s="1">
        <v>45324</v>
      </c>
      <c r="B256" t="s">
        <v>13</v>
      </c>
      <c r="C256" t="s">
        <v>280</v>
      </c>
      <c r="D256" t="s">
        <v>22</v>
      </c>
      <c r="E256" t="s">
        <v>27</v>
      </c>
      <c r="F256" t="s">
        <v>31</v>
      </c>
      <c r="G256" t="s">
        <v>18</v>
      </c>
      <c r="H256" t="s">
        <v>28</v>
      </c>
      <c r="I256" t="s">
        <v>19</v>
      </c>
      <c r="J256">
        <v>8.9700000000000006</v>
      </c>
      <c r="K256">
        <v>0</v>
      </c>
      <c r="L256" t="s">
        <v>20</v>
      </c>
      <c r="M256" t="str">
        <f t="shared" si="6"/>
        <v>On Time</v>
      </c>
      <c r="N256" t="str">
        <f t="shared" si="7"/>
        <v>Mumbai → Hyderabad</v>
      </c>
    </row>
    <row r="257" spans="1:14">
      <c r="A257" s="1">
        <v>45307</v>
      </c>
      <c r="B257" t="s">
        <v>38</v>
      </c>
      <c r="C257" t="s">
        <v>281</v>
      </c>
      <c r="D257" t="s">
        <v>16</v>
      </c>
      <c r="E257" t="s">
        <v>22</v>
      </c>
      <c r="F257" t="s">
        <v>24</v>
      </c>
      <c r="G257" t="s">
        <v>37</v>
      </c>
      <c r="H257" t="s">
        <v>28</v>
      </c>
      <c r="I257" t="s">
        <v>33</v>
      </c>
      <c r="J257">
        <v>8.15</v>
      </c>
      <c r="K257">
        <v>0</v>
      </c>
      <c r="L257" t="s">
        <v>20</v>
      </c>
      <c r="M257" t="str">
        <f t="shared" si="6"/>
        <v>On Time</v>
      </c>
      <c r="N257" t="str">
        <f t="shared" si="7"/>
        <v>Chennai → Mumbai</v>
      </c>
    </row>
    <row r="258" spans="1:14">
      <c r="A258" s="1">
        <v>45297</v>
      </c>
      <c r="B258" t="s">
        <v>38</v>
      </c>
      <c r="C258" t="s">
        <v>282</v>
      </c>
      <c r="D258" t="s">
        <v>27</v>
      </c>
      <c r="E258" t="s">
        <v>23</v>
      </c>
      <c r="F258" t="s">
        <v>28</v>
      </c>
      <c r="G258" t="s">
        <v>37</v>
      </c>
      <c r="H258" t="s">
        <v>32</v>
      </c>
      <c r="I258" t="s">
        <v>33</v>
      </c>
      <c r="J258">
        <v>10.62</v>
      </c>
      <c r="K258">
        <v>0</v>
      </c>
      <c r="L258" t="s">
        <v>20</v>
      </c>
      <c r="M258" t="str">
        <f t="shared" ref="M258:M321" si="8">IF(K258=0,"On Time","Delayed")</f>
        <v>On Time</v>
      </c>
      <c r="N258" t="str">
        <f t="shared" ref="N258:N321" si="9">D258 &amp; " → " &amp; E258</f>
        <v>Hyderabad → Bangalore</v>
      </c>
    </row>
    <row r="259" spans="1:14">
      <c r="A259" s="1">
        <v>45338</v>
      </c>
      <c r="B259" t="s">
        <v>13</v>
      </c>
      <c r="C259" t="s">
        <v>283</v>
      </c>
      <c r="D259" t="s">
        <v>40</v>
      </c>
      <c r="E259" t="s">
        <v>16</v>
      </c>
      <c r="F259" t="s">
        <v>28</v>
      </c>
      <c r="G259" t="s">
        <v>37</v>
      </c>
      <c r="H259" t="s">
        <v>31</v>
      </c>
      <c r="I259" t="s">
        <v>19</v>
      </c>
      <c r="J259">
        <v>6.69</v>
      </c>
      <c r="K259">
        <v>0</v>
      </c>
      <c r="L259" t="s">
        <v>20</v>
      </c>
      <c r="M259" t="str">
        <f t="shared" si="8"/>
        <v>On Time</v>
      </c>
      <c r="N259" t="str">
        <f t="shared" si="9"/>
        <v>Kolkata → Chennai</v>
      </c>
    </row>
    <row r="260" spans="1:14">
      <c r="A260" s="1">
        <v>45345</v>
      </c>
      <c r="B260" t="s">
        <v>29</v>
      </c>
      <c r="C260" t="s">
        <v>284</v>
      </c>
      <c r="D260" t="s">
        <v>23</v>
      </c>
      <c r="E260" t="s">
        <v>40</v>
      </c>
      <c r="F260" t="s">
        <v>24</v>
      </c>
      <c r="G260" t="s">
        <v>37</v>
      </c>
      <c r="H260" t="s">
        <v>17</v>
      </c>
      <c r="I260" t="s">
        <v>33</v>
      </c>
      <c r="J260">
        <v>1.98</v>
      </c>
      <c r="K260">
        <v>0</v>
      </c>
      <c r="L260" t="s">
        <v>20</v>
      </c>
      <c r="M260" t="str">
        <f t="shared" si="8"/>
        <v>On Time</v>
      </c>
      <c r="N260" t="str">
        <f t="shared" si="9"/>
        <v>Bangalore → Kolkata</v>
      </c>
    </row>
    <row r="261" spans="1:14">
      <c r="A261" s="1">
        <v>45342</v>
      </c>
      <c r="B261" t="s">
        <v>38</v>
      </c>
      <c r="C261" t="s">
        <v>285</v>
      </c>
      <c r="D261" t="s">
        <v>15</v>
      </c>
      <c r="E261" t="s">
        <v>22</v>
      </c>
      <c r="F261" t="s">
        <v>17</v>
      </c>
      <c r="G261" t="s">
        <v>37</v>
      </c>
      <c r="H261" t="s">
        <v>32</v>
      </c>
      <c r="I261" t="s">
        <v>19</v>
      </c>
      <c r="J261">
        <v>11.95</v>
      </c>
      <c r="K261">
        <v>0</v>
      </c>
      <c r="L261" t="s">
        <v>20</v>
      </c>
      <c r="M261" t="str">
        <f t="shared" si="8"/>
        <v>On Time</v>
      </c>
      <c r="N261" t="str">
        <f t="shared" si="9"/>
        <v>Delhi → Mumbai</v>
      </c>
    </row>
    <row r="262" spans="1:14">
      <c r="A262" s="1">
        <v>45348</v>
      </c>
      <c r="B262" t="s">
        <v>29</v>
      </c>
      <c r="C262" t="s">
        <v>286</v>
      </c>
      <c r="D262" t="s">
        <v>22</v>
      </c>
      <c r="E262" t="s">
        <v>16</v>
      </c>
      <c r="F262" t="s">
        <v>31</v>
      </c>
      <c r="G262" t="s">
        <v>37</v>
      </c>
      <c r="H262" t="s">
        <v>28</v>
      </c>
      <c r="I262" t="s">
        <v>19</v>
      </c>
      <c r="J262">
        <v>2.04</v>
      </c>
      <c r="K262">
        <v>0</v>
      </c>
      <c r="L262" t="s">
        <v>20</v>
      </c>
      <c r="M262" t="str">
        <f t="shared" si="8"/>
        <v>On Time</v>
      </c>
      <c r="N262" t="str">
        <f t="shared" si="9"/>
        <v>Mumbai → Chennai</v>
      </c>
    </row>
    <row r="263" spans="1:14">
      <c r="A263" s="1">
        <v>45311</v>
      </c>
      <c r="B263" t="s">
        <v>45</v>
      </c>
      <c r="C263" t="s">
        <v>287</v>
      </c>
      <c r="D263" t="s">
        <v>16</v>
      </c>
      <c r="E263" t="s">
        <v>15</v>
      </c>
      <c r="F263" t="s">
        <v>31</v>
      </c>
      <c r="G263" t="s">
        <v>18</v>
      </c>
      <c r="H263" t="s">
        <v>31</v>
      </c>
      <c r="I263" t="s">
        <v>33</v>
      </c>
      <c r="J263">
        <v>7.73</v>
      </c>
      <c r="K263">
        <v>0</v>
      </c>
      <c r="L263" t="s">
        <v>20</v>
      </c>
      <c r="M263" t="str">
        <f t="shared" si="8"/>
        <v>On Time</v>
      </c>
      <c r="N263" t="str">
        <f t="shared" si="9"/>
        <v>Chennai → Delhi</v>
      </c>
    </row>
    <row r="264" spans="1:14">
      <c r="A264" s="1">
        <v>45335</v>
      </c>
      <c r="B264" t="s">
        <v>38</v>
      </c>
      <c r="C264" t="s">
        <v>288</v>
      </c>
      <c r="D264" t="s">
        <v>15</v>
      </c>
      <c r="E264" t="s">
        <v>22</v>
      </c>
      <c r="F264" t="s">
        <v>28</v>
      </c>
      <c r="G264" t="s">
        <v>37</v>
      </c>
      <c r="H264" t="s">
        <v>31</v>
      </c>
      <c r="I264" t="s">
        <v>19</v>
      </c>
      <c r="J264">
        <v>3.9</v>
      </c>
      <c r="K264">
        <v>0</v>
      </c>
      <c r="L264" t="s">
        <v>20</v>
      </c>
      <c r="M264" t="str">
        <f t="shared" si="8"/>
        <v>On Time</v>
      </c>
      <c r="N264" t="str">
        <f t="shared" si="9"/>
        <v>Delhi → Mumbai</v>
      </c>
    </row>
    <row r="265" spans="1:14">
      <c r="A265" s="1">
        <v>45338</v>
      </c>
      <c r="B265" t="s">
        <v>13</v>
      </c>
      <c r="C265" t="s">
        <v>289</v>
      </c>
      <c r="D265" t="s">
        <v>15</v>
      </c>
      <c r="E265" t="s">
        <v>16</v>
      </c>
      <c r="F265" t="s">
        <v>28</v>
      </c>
      <c r="G265" t="s">
        <v>18</v>
      </c>
      <c r="H265" t="s">
        <v>28</v>
      </c>
      <c r="I265" t="s">
        <v>33</v>
      </c>
      <c r="J265">
        <v>8.24</v>
      </c>
      <c r="K265">
        <v>0</v>
      </c>
      <c r="L265" t="s">
        <v>20</v>
      </c>
      <c r="M265" t="str">
        <f t="shared" si="8"/>
        <v>On Time</v>
      </c>
      <c r="N265" t="str">
        <f t="shared" si="9"/>
        <v>Delhi → Chennai</v>
      </c>
    </row>
    <row r="266" spans="1:14">
      <c r="A266" s="1">
        <v>45301</v>
      </c>
      <c r="B266" t="s">
        <v>13</v>
      </c>
      <c r="C266" t="s">
        <v>290</v>
      </c>
      <c r="D266" t="s">
        <v>27</v>
      </c>
      <c r="E266" t="s">
        <v>40</v>
      </c>
      <c r="F266" t="s">
        <v>31</v>
      </c>
      <c r="G266" t="s">
        <v>18</v>
      </c>
      <c r="H266" t="s">
        <v>24</v>
      </c>
      <c r="I266" t="s">
        <v>33</v>
      </c>
      <c r="J266">
        <v>8.09</v>
      </c>
      <c r="K266">
        <v>0</v>
      </c>
      <c r="L266" t="s">
        <v>20</v>
      </c>
      <c r="M266" t="str">
        <f t="shared" si="8"/>
        <v>On Time</v>
      </c>
      <c r="N266" t="str">
        <f t="shared" si="9"/>
        <v>Hyderabad → Kolkata</v>
      </c>
    </row>
    <row r="267" spans="1:14">
      <c r="A267" s="1">
        <v>45350</v>
      </c>
      <c r="B267" t="s">
        <v>38</v>
      </c>
      <c r="C267" t="s">
        <v>291</v>
      </c>
      <c r="D267" t="s">
        <v>27</v>
      </c>
      <c r="E267" t="s">
        <v>16</v>
      </c>
      <c r="F267" t="s">
        <v>17</v>
      </c>
      <c r="G267" t="s">
        <v>18</v>
      </c>
      <c r="H267" t="s">
        <v>31</v>
      </c>
      <c r="I267" t="s">
        <v>19</v>
      </c>
      <c r="J267">
        <v>7.69</v>
      </c>
      <c r="K267">
        <v>0</v>
      </c>
      <c r="L267" t="s">
        <v>20</v>
      </c>
      <c r="M267" t="str">
        <f t="shared" si="8"/>
        <v>On Time</v>
      </c>
      <c r="N267" t="str">
        <f t="shared" si="9"/>
        <v>Hyderabad → Chennai</v>
      </c>
    </row>
    <row r="268" spans="1:14">
      <c r="A268" s="1">
        <v>45314</v>
      </c>
      <c r="B268" t="s">
        <v>38</v>
      </c>
      <c r="C268" t="s">
        <v>282</v>
      </c>
      <c r="D268" t="s">
        <v>23</v>
      </c>
      <c r="E268" t="s">
        <v>22</v>
      </c>
      <c r="F268" t="s">
        <v>17</v>
      </c>
      <c r="G268" t="s">
        <v>18</v>
      </c>
      <c r="H268" t="s">
        <v>28</v>
      </c>
      <c r="I268" t="s">
        <v>19</v>
      </c>
      <c r="J268">
        <v>1.78</v>
      </c>
      <c r="K268">
        <v>75</v>
      </c>
      <c r="L268" t="s">
        <v>34</v>
      </c>
      <c r="M268" t="str">
        <f t="shared" si="8"/>
        <v>Delayed</v>
      </c>
      <c r="N268" t="str">
        <f t="shared" si="9"/>
        <v>Bangalore → Mumbai</v>
      </c>
    </row>
    <row r="269" spans="1:14">
      <c r="A269" s="1">
        <v>45334</v>
      </c>
      <c r="B269" t="s">
        <v>29</v>
      </c>
      <c r="C269" t="s">
        <v>292</v>
      </c>
      <c r="D269" t="s">
        <v>22</v>
      </c>
      <c r="E269" t="s">
        <v>40</v>
      </c>
      <c r="F269" t="s">
        <v>24</v>
      </c>
      <c r="G269" t="s">
        <v>18</v>
      </c>
      <c r="H269" t="s">
        <v>24</v>
      </c>
      <c r="I269" t="s">
        <v>33</v>
      </c>
      <c r="J269">
        <v>9.73</v>
      </c>
      <c r="K269">
        <v>0</v>
      </c>
      <c r="L269" t="s">
        <v>20</v>
      </c>
      <c r="M269" t="str">
        <f t="shared" si="8"/>
        <v>On Time</v>
      </c>
      <c r="N269" t="str">
        <f t="shared" si="9"/>
        <v>Mumbai → Kolkata</v>
      </c>
    </row>
    <row r="270" spans="1:14">
      <c r="A270" s="1">
        <v>45307</v>
      </c>
      <c r="B270" t="s">
        <v>38</v>
      </c>
      <c r="C270" t="s">
        <v>293</v>
      </c>
      <c r="D270" t="s">
        <v>16</v>
      </c>
      <c r="E270" t="s">
        <v>15</v>
      </c>
      <c r="F270" t="s">
        <v>17</v>
      </c>
      <c r="G270" t="s">
        <v>18</v>
      </c>
      <c r="H270" t="s">
        <v>32</v>
      </c>
      <c r="I270" t="s">
        <v>19</v>
      </c>
      <c r="J270">
        <v>5.56</v>
      </c>
      <c r="K270">
        <v>51</v>
      </c>
      <c r="L270" t="s">
        <v>25</v>
      </c>
      <c r="M270" t="str">
        <f t="shared" si="8"/>
        <v>Delayed</v>
      </c>
      <c r="N270" t="str">
        <f t="shared" si="9"/>
        <v>Chennai → Delhi</v>
      </c>
    </row>
    <row r="271" spans="1:14">
      <c r="A271" s="1">
        <v>45328</v>
      </c>
      <c r="B271" t="s">
        <v>38</v>
      </c>
      <c r="C271" t="s">
        <v>294</v>
      </c>
      <c r="D271" t="s">
        <v>23</v>
      </c>
      <c r="E271" t="s">
        <v>40</v>
      </c>
      <c r="F271" t="s">
        <v>17</v>
      </c>
      <c r="G271" t="s">
        <v>18</v>
      </c>
      <c r="H271" t="s">
        <v>32</v>
      </c>
      <c r="I271" t="s">
        <v>19</v>
      </c>
      <c r="J271">
        <v>1.64</v>
      </c>
      <c r="K271">
        <v>0</v>
      </c>
      <c r="L271" t="s">
        <v>20</v>
      </c>
      <c r="M271" t="str">
        <f t="shared" si="8"/>
        <v>On Time</v>
      </c>
      <c r="N271" t="str">
        <f t="shared" si="9"/>
        <v>Bangalore → Kolkata</v>
      </c>
    </row>
    <row r="272" spans="1:14">
      <c r="A272" s="1">
        <v>45294</v>
      </c>
      <c r="B272" t="s">
        <v>13</v>
      </c>
      <c r="C272" t="s">
        <v>295</v>
      </c>
      <c r="D272" t="s">
        <v>16</v>
      </c>
      <c r="E272" t="s">
        <v>40</v>
      </c>
      <c r="F272" t="s">
        <v>28</v>
      </c>
      <c r="G272" t="s">
        <v>37</v>
      </c>
      <c r="H272" t="s">
        <v>24</v>
      </c>
      <c r="I272" t="s">
        <v>33</v>
      </c>
      <c r="J272">
        <v>8.23</v>
      </c>
      <c r="K272">
        <v>94</v>
      </c>
      <c r="L272" t="s">
        <v>25</v>
      </c>
      <c r="M272" t="str">
        <f t="shared" si="8"/>
        <v>Delayed</v>
      </c>
      <c r="N272" t="str">
        <f t="shared" si="9"/>
        <v>Chennai → Kolkata</v>
      </c>
    </row>
    <row r="273" spans="1:14">
      <c r="A273" s="1">
        <v>45331</v>
      </c>
      <c r="B273" t="s">
        <v>45</v>
      </c>
      <c r="C273" t="s">
        <v>296</v>
      </c>
      <c r="D273" t="s">
        <v>23</v>
      </c>
      <c r="E273" t="s">
        <v>15</v>
      </c>
      <c r="F273" t="s">
        <v>28</v>
      </c>
      <c r="G273" t="s">
        <v>18</v>
      </c>
      <c r="H273" t="s">
        <v>31</v>
      </c>
      <c r="I273" t="s">
        <v>19</v>
      </c>
      <c r="J273">
        <v>7.66</v>
      </c>
      <c r="K273">
        <v>73</v>
      </c>
      <c r="L273" t="s">
        <v>52</v>
      </c>
      <c r="M273" t="str">
        <f t="shared" si="8"/>
        <v>Delayed</v>
      </c>
      <c r="N273" t="str">
        <f t="shared" si="9"/>
        <v>Bangalore → Delhi</v>
      </c>
    </row>
    <row r="274" spans="1:14">
      <c r="A274" s="1">
        <v>45345</v>
      </c>
      <c r="B274" t="s">
        <v>13</v>
      </c>
      <c r="C274" t="s">
        <v>297</v>
      </c>
      <c r="D274" t="s">
        <v>23</v>
      </c>
      <c r="E274" t="s">
        <v>27</v>
      </c>
      <c r="F274" t="s">
        <v>17</v>
      </c>
      <c r="G274" t="s">
        <v>18</v>
      </c>
      <c r="H274" t="s">
        <v>31</v>
      </c>
      <c r="I274" t="s">
        <v>19</v>
      </c>
      <c r="J274">
        <v>6.26</v>
      </c>
      <c r="K274">
        <v>0</v>
      </c>
      <c r="L274" t="s">
        <v>20</v>
      </c>
      <c r="M274" t="str">
        <f t="shared" si="8"/>
        <v>On Time</v>
      </c>
      <c r="N274" t="str">
        <f t="shared" si="9"/>
        <v>Bangalore → Hyderabad</v>
      </c>
    </row>
    <row r="275" spans="1:14">
      <c r="A275" s="1">
        <v>45295</v>
      </c>
      <c r="B275" t="s">
        <v>29</v>
      </c>
      <c r="C275" t="s">
        <v>298</v>
      </c>
      <c r="D275" t="s">
        <v>40</v>
      </c>
      <c r="E275" t="s">
        <v>22</v>
      </c>
      <c r="F275" t="s">
        <v>31</v>
      </c>
      <c r="G275" t="s">
        <v>18</v>
      </c>
      <c r="H275" t="s">
        <v>31</v>
      </c>
      <c r="I275" t="s">
        <v>19</v>
      </c>
      <c r="J275">
        <v>6.99</v>
      </c>
      <c r="K275">
        <v>25</v>
      </c>
      <c r="L275" t="s">
        <v>52</v>
      </c>
      <c r="M275" t="str">
        <f t="shared" si="8"/>
        <v>Delayed</v>
      </c>
      <c r="N275" t="str">
        <f t="shared" si="9"/>
        <v>Kolkata → Mumbai</v>
      </c>
    </row>
    <row r="276" spans="1:14">
      <c r="A276" s="1">
        <v>45344</v>
      </c>
      <c r="B276" t="s">
        <v>29</v>
      </c>
      <c r="C276" t="s">
        <v>299</v>
      </c>
      <c r="D276" t="s">
        <v>22</v>
      </c>
      <c r="E276" t="s">
        <v>16</v>
      </c>
      <c r="F276" t="s">
        <v>17</v>
      </c>
      <c r="G276" t="s">
        <v>18</v>
      </c>
      <c r="H276" t="s">
        <v>28</v>
      </c>
      <c r="I276" t="s">
        <v>19</v>
      </c>
      <c r="J276">
        <v>7</v>
      </c>
      <c r="K276">
        <v>47</v>
      </c>
      <c r="L276" t="s">
        <v>52</v>
      </c>
      <c r="M276" t="str">
        <f t="shared" si="8"/>
        <v>Delayed</v>
      </c>
      <c r="N276" t="str">
        <f t="shared" si="9"/>
        <v>Mumbai → Chennai</v>
      </c>
    </row>
    <row r="277" spans="1:14">
      <c r="A277" s="1">
        <v>45337</v>
      </c>
      <c r="B277" t="s">
        <v>35</v>
      </c>
      <c r="C277" t="s">
        <v>236</v>
      </c>
      <c r="D277" t="s">
        <v>40</v>
      </c>
      <c r="E277" t="s">
        <v>15</v>
      </c>
      <c r="F277" t="s">
        <v>32</v>
      </c>
      <c r="G277" t="s">
        <v>37</v>
      </c>
      <c r="H277" t="s">
        <v>32</v>
      </c>
      <c r="I277" t="s">
        <v>19</v>
      </c>
      <c r="J277">
        <v>5.36</v>
      </c>
      <c r="K277">
        <v>0</v>
      </c>
      <c r="L277" t="s">
        <v>20</v>
      </c>
      <c r="M277" t="str">
        <f t="shared" si="8"/>
        <v>On Time</v>
      </c>
      <c r="N277" t="str">
        <f t="shared" si="9"/>
        <v>Kolkata → Delhi</v>
      </c>
    </row>
    <row r="278" spans="1:14">
      <c r="A278" s="1">
        <v>45341</v>
      </c>
      <c r="B278" t="s">
        <v>13</v>
      </c>
      <c r="C278" t="s">
        <v>300</v>
      </c>
      <c r="D278" t="s">
        <v>27</v>
      </c>
      <c r="E278" t="s">
        <v>15</v>
      </c>
      <c r="F278" t="s">
        <v>17</v>
      </c>
      <c r="G278" t="s">
        <v>18</v>
      </c>
      <c r="H278" t="s">
        <v>24</v>
      </c>
      <c r="I278" t="s">
        <v>19</v>
      </c>
      <c r="J278">
        <v>4.07</v>
      </c>
      <c r="K278">
        <v>0</v>
      </c>
      <c r="L278" t="s">
        <v>20</v>
      </c>
      <c r="M278" t="str">
        <f t="shared" si="8"/>
        <v>On Time</v>
      </c>
      <c r="N278" t="str">
        <f t="shared" si="9"/>
        <v>Hyderabad → Delhi</v>
      </c>
    </row>
    <row r="279" spans="1:14">
      <c r="A279" s="1">
        <v>45315</v>
      </c>
      <c r="B279" t="s">
        <v>38</v>
      </c>
      <c r="C279" t="s">
        <v>301</v>
      </c>
      <c r="D279" t="s">
        <v>22</v>
      </c>
      <c r="E279" t="s">
        <v>23</v>
      </c>
      <c r="F279" t="s">
        <v>31</v>
      </c>
      <c r="G279" t="s">
        <v>37</v>
      </c>
      <c r="H279" t="s">
        <v>24</v>
      </c>
      <c r="I279" t="s">
        <v>19</v>
      </c>
      <c r="J279">
        <v>5.87</v>
      </c>
      <c r="K279">
        <v>0</v>
      </c>
      <c r="L279" t="s">
        <v>20</v>
      </c>
      <c r="M279" t="str">
        <f t="shared" si="8"/>
        <v>On Time</v>
      </c>
      <c r="N279" t="str">
        <f t="shared" si="9"/>
        <v>Mumbai → Bangalore</v>
      </c>
    </row>
    <row r="280" spans="1:14">
      <c r="A280" s="1">
        <v>45312</v>
      </c>
      <c r="B280" t="s">
        <v>29</v>
      </c>
      <c r="C280" t="s">
        <v>302</v>
      </c>
      <c r="D280" t="s">
        <v>15</v>
      </c>
      <c r="E280" t="s">
        <v>40</v>
      </c>
      <c r="F280" t="s">
        <v>28</v>
      </c>
      <c r="G280" t="s">
        <v>18</v>
      </c>
      <c r="H280" t="s">
        <v>31</v>
      </c>
      <c r="I280" t="s">
        <v>19</v>
      </c>
      <c r="J280">
        <v>11.52</v>
      </c>
      <c r="K280">
        <v>0</v>
      </c>
      <c r="L280" t="s">
        <v>20</v>
      </c>
      <c r="M280" t="str">
        <f t="shared" si="8"/>
        <v>On Time</v>
      </c>
      <c r="N280" t="str">
        <f t="shared" si="9"/>
        <v>Delhi → Kolkata</v>
      </c>
    </row>
    <row r="281" spans="1:14">
      <c r="A281" s="1">
        <v>45348</v>
      </c>
      <c r="B281" t="s">
        <v>38</v>
      </c>
      <c r="C281" t="s">
        <v>303</v>
      </c>
      <c r="D281" t="s">
        <v>23</v>
      </c>
      <c r="E281" t="s">
        <v>16</v>
      </c>
      <c r="F281" t="s">
        <v>28</v>
      </c>
      <c r="G281" t="s">
        <v>37</v>
      </c>
      <c r="H281" t="s">
        <v>31</v>
      </c>
      <c r="I281" t="s">
        <v>19</v>
      </c>
      <c r="J281">
        <v>4.5599999999999996</v>
      </c>
      <c r="K281">
        <v>0</v>
      </c>
      <c r="L281" t="s">
        <v>20</v>
      </c>
      <c r="M281" t="str">
        <f t="shared" si="8"/>
        <v>On Time</v>
      </c>
      <c r="N281" t="str">
        <f t="shared" si="9"/>
        <v>Bangalore → Chennai</v>
      </c>
    </row>
    <row r="282" spans="1:14">
      <c r="A282" s="1">
        <v>45311</v>
      </c>
      <c r="B282" t="s">
        <v>35</v>
      </c>
      <c r="C282" t="s">
        <v>304</v>
      </c>
      <c r="D282" t="s">
        <v>22</v>
      </c>
      <c r="E282" t="s">
        <v>27</v>
      </c>
      <c r="F282" t="s">
        <v>28</v>
      </c>
      <c r="G282" t="s">
        <v>37</v>
      </c>
      <c r="H282" t="s">
        <v>24</v>
      </c>
      <c r="I282" t="s">
        <v>19</v>
      </c>
      <c r="J282">
        <v>3.08</v>
      </c>
      <c r="K282">
        <v>0</v>
      </c>
      <c r="L282" t="s">
        <v>20</v>
      </c>
      <c r="M282" t="str">
        <f t="shared" si="8"/>
        <v>On Time</v>
      </c>
      <c r="N282" t="str">
        <f t="shared" si="9"/>
        <v>Mumbai → Hyderabad</v>
      </c>
    </row>
    <row r="283" spans="1:14">
      <c r="A283" s="1">
        <v>45293</v>
      </c>
      <c r="B283" t="s">
        <v>45</v>
      </c>
      <c r="C283" t="s">
        <v>305</v>
      </c>
      <c r="D283" t="s">
        <v>27</v>
      </c>
      <c r="E283" t="s">
        <v>23</v>
      </c>
      <c r="F283" t="s">
        <v>31</v>
      </c>
      <c r="G283" t="s">
        <v>18</v>
      </c>
      <c r="H283" t="s">
        <v>28</v>
      </c>
      <c r="I283" t="s">
        <v>33</v>
      </c>
      <c r="J283">
        <v>3.65</v>
      </c>
      <c r="K283">
        <v>113</v>
      </c>
      <c r="L283" t="s">
        <v>25</v>
      </c>
      <c r="M283" t="str">
        <f t="shared" si="8"/>
        <v>Delayed</v>
      </c>
      <c r="N283" t="str">
        <f t="shared" si="9"/>
        <v>Hyderabad → Bangalore</v>
      </c>
    </row>
    <row r="284" spans="1:14">
      <c r="A284" s="1">
        <v>45318</v>
      </c>
      <c r="B284" t="s">
        <v>38</v>
      </c>
      <c r="C284" t="s">
        <v>306</v>
      </c>
      <c r="D284" t="s">
        <v>15</v>
      </c>
      <c r="E284" t="s">
        <v>23</v>
      </c>
      <c r="F284" t="s">
        <v>28</v>
      </c>
      <c r="G284" t="s">
        <v>18</v>
      </c>
      <c r="H284" t="s">
        <v>31</v>
      </c>
      <c r="I284" t="s">
        <v>19</v>
      </c>
      <c r="J284">
        <v>10.9</v>
      </c>
      <c r="K284">
        <v>119</v>
      </c>
      <c r="L284" t="s">
        <v>34</v>
      </c>
      <c r="M284" t="str">
        <f t="shared" si="8"/>
        <v>Delayed</v>
      </c>
      <c r="N284" t="str">
        <f t="shared" si="9"/>
        <v>Delhi → Bangalore</v>
      </c>
    </row>
    <row r="285" spans="1:14">
      <c r="A285" s="1">
        <v>45339</v>
      </c>
      <c r="B285" t="s">
        <v>13</v>
      </c>
      <c r="C285" t="s">
        <v>307</v>
      </c>
      <c r="D285" t="s">
        <v>27</v>
      </c>
      <c r="E285" t="s">
        <v>15</v>
      </c>
      <c r="F285" t="s">
        <v>24</v>
      </c>
      <c r="G285" t="s">
        <v>37</v>
      </c>
      <c r="H285" t="s">
        <v>17</v>
      </c>
      <c r="I285" t="s">
        <v>19</v>
      </c>
      <c r="J285">
        <v>6.07</v>
      </c>
      <c r="K285">
        <v>0</v>
      </c>
      <c r="L285" t="s">
        <v>20</v>
      </c>
      <c r="M285" t="str">
        <f t="shared" si="8"/>
        <v>On Time</v>
      </c>
      <c r="N285" t="str">
        <f t="shared" si="9"/>
        <v>Hyderabad → Delhi</v>
      </c>
    </row>
    <row r="286" spans="1:14">
      <c r="A286" s="1">
        <v>45307</v>
      </c>
      <c r="B286" t="s">
        <v>29</v>
      </c>
      <c r="C286" t="s">
        <v>308</v>
      </c>
      <c r="D286" t="s">
        <v>23</v>
      </c>
      <c r="E286" t="s">
        <v>16</v>
      </c>
      <c r="F286" t="s">
        <v>32</v>
      </c>
      <c r="G286" t="s">
        <v>37</v>
      </c>
      <c r="H286" t="s">
        <v>28</v>
      </c>
      <c r="I286" t="s">
        <v>33</v>
      </c>
      <c r="J286">
        <v>2.2799999999999998</v>
      </c>
      <c r="K286">
        <v>0</v>
      </c>
      <c r="L286" t="s">
        <v>20</v>
      </c>
      <c r="M286" t="str">
        <f t="shared" si="8"/>
        <v>On Time</v>
      </c>
      <c r="N286" t="str">
        <f t="shared" si="9"/>
        <v>Bangalore → Chennai</v>
      </c>
    </row>
    <row r="287" spans="1:14">
      <c r="A287" s="1">
        <v>45300</v>
      </c>
      <c r="B287" t="s">
        <v>35</v>
      </c>
      <c r="C287" t="s">
        <v>309</v>
      </c>
      <c r="D287" t="s">
        <v>15</v>
      </c>
      <c r="E287" t="s">
        <v>23</v>
      </c>
      <c r="F287" t="s">
        <v>31</v>
      </c>
      <c r="G287" t="s">
        <v>37</v>
      </c>
      <c r="H287" t="s">
        <v>17</v>
      </c>
      <c r="I287" t="s">
        <v>33</v>
      </c>
      <c r="J287">
        <v>7.13</v>
      </c>
      <c r="K287">
        <v>45</v>
      </c>
      <c r="L287" t="s">
        <v>25</v>
      </c>
      <c r="M287" t="str">
        <f t="shared" si="8"/>
        <v>Delayed</v>
      </c>
      <c r="N287" t="str">
        <f t="shared" si="9"/>
        <v>Delhi → Bangalore</v>
      </c>
    </row>
    <row r="288" spans="1:14">
      <c r="A288" s="1">
        <v>45305</v>
      </c>
      <c r="B288" t="s">
        <v>38</v>
      </c>
      <c r="C288" t="s">
        <v>310</v>
      </c>
      <c r="D288" t="s">
        <v>23</v>
      </c>
      <c r="E288" t="s">
        <v>27</v>
      </c>
      <c r="F288" t="s">
        <v>28</v>
      </c>
      <c r="G288" t="s">
        <v>18</v>
      </c>
      <c r="H288" t="s">
        <v>31</v>
      </c>
      <c r="I288" t="s">
        <v>19</v>
      </c>
      <c r="J288">
        <v>8.82</v>
      </c>
      <c r="K288">
        <v>108</v>
      </c>
      <c r="L288" t="s">
        <v>34</v>
      </c>
      <c r="M288" t="str">
        <f t="shared" si="8"/>
        <v>Delayed</v>
      </c>
      <c r="N288" t="str">
        <f t="shared" si="9"/>
        <v>Bangalore → Hyderabad</v>
      </c>
    </row>
    <row r="289" spans="1:14">
      <c r="A289" s="1">
        <v>45305</v>
      </c>
      <c r="B289" t="s">
        <v>29</v>
      </c>
      <c r="C289" t="s">
        <v>311</v>
      </c>
      <c r="D289" t="s">
        <v>22</v>
      </c>
      <c r="E289" t="s">
        <v>15</v>
      </c>
      <c r="F289" t="s">
        <v>17</v>
      </c>
      <c r="G289" t="s">
        <v>37</v>
      </c>
      <c r="H289" t="s">
        <v>28</v>
      </c>
      <c r="I289" t="s">
        <v>19</v>
      </c>
      <c r="J289">
        <v>10.11</v>
      </c>
      <c r="K289">
        <v>91</v>
      </c>
      <c r="L289" t="s">
        <v>52</v>
      </c>
      <c r="M289" t="str">
        <f t="shared" si="8"/>
        <v>Delayed</v>
      </c>
      <c r="N289" t="str">
        <f t="shared" si="9"/>
        <v>Mumbai → Delhi</v>
      </c>
    </row>
    <row r="290" spans="1:14">
      <c r="A290" s="1">
        <v>45293</v>
      </c>
      <c r="B290" t="s">
        <v>38</v>
      </c>
      <c r="C290" t="s">
        <v>312</v>
      </c>
      <c r="D290" t="s">
        <v>16</v>
      </c>
      <c r="E290" t="s">
        <v>40</v>
      </c>
      <c r="F290" t="s">
        <v>24</v>
      </c>
      <c r="G290" t="s">
        <v>18</v>
      </c>
      <c r="H290" t="s">
        <v>17</v>
      </c>
      <c r="I290" t="s">
        <v>33</v>
      </c>
      <c r="J290">
        <v>2.78</v>
      </c>
      <c r="K290">
        <v>0</v>
      </c>
      <c r="L290" t="s">
        <v>20</v>
      </c>
      <c r="M290" t="str">
        <f t="shared" si="8"/>
        <v>On Time</v>
      </c>
      <c r="N290" t="str">
        <f t="shared" si="9"/>
        <v>Chennai → Kolkata</v>
      </c>
    </row>
    <row r="291" spans="1:14">
      <c r="A291" s="1">
        <v>45345</v>
      </c>
      <c r="B291" t="s">
        <v>45</v>
      </c>
      <c r="C291" t="s">
        <v>313</v>
      </c>
      <c r="D291" t="s">
        <v>22</v>
      </c>
      <c r="E291" t="s">
        <v>23</v>
      </c>
      <c r="F291" t="s">
        <v>32</v>
      </c>
      <c r="G291" t="s">
        <v>18</v>
      </c>
      <c r="H291" t="s">
        <v>28</v>
      </c>
      <c r="I291" t="s">
        <v>33</v>
      </c>
      <c r="J291">
        <v>1.73</v>
      </c>
      <c r="K291">
        <v>0</v>
      </c>
      <c r="L291" t="s">
        <v>20</v>
      </c>
      <c r="M291" t="str">
        <f t="shared" si="8"/>
        <v>On Time</v>
      </c>
      <c r="N291" t="str">
        <f t="shared" si="9"/>
        <v>Mumbai → Bangalore</v>
      </c>
    </row>
    <row r="292" spans="1:14">
      <c r="A292" s="1">
        <v>45304</v>
      </c>
      <c r="B292" t="s">
        <v>38</v>
      </c>
      <c r="C292" t="s">
        <v>314</v>
      </c>
      <c r="D292" t="s">
        <v>22</v>
      </c>
      <c r="E292" t="s">
        <v>15</v>
      </c>
      <c r="F292" t="s">
        <v>28</v>
      </c>
      <c r="G292" t="s">
        <v>18</v>
      </c>
      <c r="H292" t="s">
        <v>31</v>
      </c>
      <c r="I292" t="s">
        <v>33</v>
      </c>
      <c r="J292">
        <v>11.2</v>
      </c>
      <c r="K292">
        <v>0</v>
      </c>
      <c r="L292" t="s">
        <v>20</v>
      </c>
      <c r="M292" t="str">
        <f t="shared" si="8"/>
        <v>On Time</v>
      </c>
      <c r="N292" t="str">
        <f t="shared" si="9"/>
        <v>Mumbai → Delhi</v>
      </c>
    </row>
    <row r="293" spans="1:14">
      <c r="A293" s="1">
        <v>45344</v>
      </c>
      <c r="B293" t="s">
        <v>38</v>
      </c>
      <c r="C293" t="s">
        <v>315</v>
      </c>
      <c r="D293" t="s">
        <v>16</v>
      </c>
      <c r="E293" t="s">
        <v>15</v>
      </c>
      <c r="F293" t="s">
        <v>32</v>
      </c>
      <c r="G293" t="s">
        <v>18</v>
      </c>
      <c r="H293" t="s">
        <v>32</v>
      </c>
      <c r="I293" t="s">
        <v>33</v>
      </c>
      <c r="J293">
        <v>4.3899999999999997</v>
      </c>
      <c r="K293">
        <v>0</v>
      </c>
      <c r="L293" t="s">
        <v>20</v>
      </c>
      <c r="M293" t="str">
        <f t="shared" si="8"/>
        <v>On Time</v>
      </c>
      <c r="N293" t="str">
        <f t="shared" si="9"/>
        <v>Chennai → Delhi</v>
      </c>
    </row>
    <row r="294" spans="1:14">
      <c r="A294" s="1">
        <v>45348</v>
      </c>
      <c r="B294" t="s">
        <v>45</v>
      </c>
      <c r="C294" t="s">
        <v>316</v>
      </c>
      <c r="D294" t="s">
        <v>15</v>
      </c>
      <c r="E294" t="s">
        <v>40</v>
      </c>
      <c r="F294" t="s">
        <v>24</v>
      </c>
      <c r="G294" t="s">
        <v>18</v>
      </c>
      <c r="H294" t="s">
        <v>24</v>
      </c>
      <c r="I294" t="s">
        <v>33</v>
      </c>
      <c r="J294">
        <v>6.53</v>
      </c>
      <c r="K294">
        <v>68</v>
      </c>
      <c r="L294" t="s">
        <v>34</v>
      </c>
      <c r="M294" t="str">
        <f t="shared" si="8"/>
        <v>Delayed</v>
      </c>
      <c r="N294" t="str">
        <f t="shared" si="9"/>
        <v>Delhi → Kolkata</v>
      </c>
    </row>
    <row r="295" spans="1:14">
      <c r="A295" s="1">
        <v>45309</v>
      </c>
      <c r="B295" t="s">
        <v>38</v>
      </c>
      <c r="C295" t="s">
        <v>317</v>
      </c>
      <c r="D295" t="s">
        <v>22</v>
      </c>
      <c r="E295" t="s">
        <v>27</v>
      </c>
      <c r="F295" t="s">
        <v>17</v>
      </c>
      <c r="G295" t="s">
        <v>18</v>
      </c>
      <c r="H295" t="s">
        <v>24</v>
      </c>
      <c r="I295" t="s">
        <v>19</v>
      </c>
      <c r="J295">
        <v>7.22</v>
      </c>
      <c r="K295">
        <v>53</v>
      </c>
      <c r="L295" t="s">
        <v>52</v>
      </c>
      <c r="M295" t="str">
        <f t="shared" si="8"/>
        <v>Delayed</v>
      </c>
      <c r="N295" t="str">
        <f t="shared" si="9"/>
        <v>Mumbai → Hyderabad</v>
      </c>
    </row>
    <row r="296" spans="1:14">
      <c r="A296" s="1">
        <v>45314</v>
      </c>
      <c r="B296" t="s">
        <v>35</v>
      </c>
      <c r="C296" t="s">
        <v>70</v>
      </c>
      <c r="D296" t="s">
        <v>27</v>
      </c>
      <c r="E296" t="s">
        <v>23</v>
      </c>
      <c r="F296" t="s">
        <v>32</v>
      </c>
      <c r="G296" t="s">
        <v>18</v>
      </c>
      <c r="H296" t="s">
        <v>28</v>
      </c>
      <c r="I296" t="s">
        <v>19</v>
      </c>
      <c r="J296">
        <v>1.81</v>
      </c>
      <c r="K296">
        <v>0</v>
      </c>
      <c r="L296" t="s">
        <v>20</v>
      </c>
      <c r="M296" t="str">
        <f t="shared" si="8"/>
        <v>On Time</v>
      </c>
      <c r="N296" t="str">
        <f t="shared" si="9"/>
        <v>Hyderabad → Bangalore</v>
      </c>
    </row>
    <row r="297" spans="1:14">
      <c r="A297" s="1">
        <v>45341</v>
      </c>
      <c r="B297" t="s">
        <v>29</v>
      </c>
      <c r="C297" t="s">
        <v>318</v>
      </c>
      <c r="D297" t="s">
        <v>15</v>
      </c>
      <c r="E297" t="s">
        <v>27</v>
      </c>
      <c r="F297" t="s">
        <v>24</v>
      </c>
      <c r="G297" t="s">
        <v>18</v>
      </c>
      <c r="H297" t="s">
        <v>28</v>
      </c>
      <c r="I297" t="s">
        <v>19</v>
      </c>
      <c r="J297">
        <v>8.4</v>
      </c>
      <c r="K297">
        <v>0</v>
      </c>
      <c r="L297" t="s">
        <v>20</v>
      </c>
      <c r="M297" t="str">
        <f t="shared" si="8"/>
        <v>On Time</v>
      </c>
      <c r="N297" t="str">
        <f t="shared" si="9"/>
        <v>Delhi → Hyderabad</v>
      </c>
    </row>
    <row r="298" spans="1:14">
      <c r="A298" s="1">
        <v>45326</v>
      </c>
      <c r="B298" t="s">
        <v>13</v>
      </c>
      <c r="C298" t="s">
        <v>319</v>
      </c>
      <c r="D298" t="s">
        <v>22</v>
      </c>
      <c r="E298" t="s">
        <v>40</v>
      </c>
      <c r="F298" t="s">
        <v>32</v>
      </c>
      <c r="G298" t="s">
        <v>18</v>
      </c>
      <c r="H298" t="s">
        <v>28</v>
      </c>
      <c r="I298" t="s">
        <v>19</v>
      </c>
      <c r="J298">
        <v>8.83</v>
      </c>
      <c r="K298">
        <v>35</v>
      </c>
      <c r="L298" t="s">
        <v>34</v>
      </c>
      <c r="M298" t="str">
        <f t="shared" si="8"/>
        <v>Delayed</v>
      </c>
      <c r="N298" t="str">
        <f t="shared" si="9"/>
        <v>Mumbai → Kolkata</v>
      </c>
    </row>
    <row r="299" spans="1:14">
      <c r="A299" s="1">
        <v>45293</v>
      </c>
      <c r="B299" t="s">
        <v>29</v>
      </c>
      <c r="C299" t="s">
        <v>320</v>
      </c>
      <c r="D299" t="s">
        <v>27</v>
      </c>
      <c r="E299" t="s">
        <v>40</v>
      </c>
      <c r="F299" t="s">
        <v>17</v>
      </c>
      <c r="G299" t="s">
        <v>18</v>
      </c>
      <c r="H299" t="s">
        <v>24</v>
      </c>
      <c r="I299" t="s">
        <v>33</v>
      </c>
      <c r="J299">
        <v>6.65</v>
      </c>
      <c r="K299">
        <v>74</v>
      </c>
      <c r="L299" t="s">
        <v>25</v>
      </c>
      <c r="M299" t="str">
        <f t="shared" si="8"/>
        <v>Delayed</v>
      </c>
      <c r="N299" t="str">
        <f t="shared" si="9"/>
        <v>Hyderabad → Kolkata</v>
      </c>
    </row>
    <row r="300" spans="1:14">
      <c r="A300" s="1">
        <v>45295</v>
      </c>
      <c r="B300" t="s">
        <v>45</v>
      </c>
      <c r="C300" t="s">
        <v>321</v>
      </c>
      <c r="D300" t="s">
        <v>27</v>
      </c>
      <c r="E300" t="s">
        <v>22</v>
      </c>
      <c r="F300" t="s">
        <v>31</v>
      </c>
      <c r="G300" t="s">
        <v>37</v>
      </c>
      <c r="H300" t="s">
        <v>24</v>
      </c>
      <c r="I300" t="s">
        <v>19</v>
      </c>
      <c r="J300">
        <v>9.9700000000000006</v>
      </c>
      <c r="K300">
        <v>0</v>
      </c>
      <c r="L300" t="s">
        <v>20</v>
      </c>
      <c r="M300" t="str">
        <f t="shared" si="8"/>
        <v>On Time</v>
      </c>
      <c r="N300" t="str">
        <f t="shared" si="9"/>
        <v>Hyderabad → Mumbai</v>
      </c>
    </row>
    <row r="301" spans="1:14">
      <c r="A301" s="1">
        <v>45337</v>
      </c>
      <c r="B301" t="s">
        <v>45</v>
      </c>
      <c r="C301" t="s">
        <v>322</v>
      </c>
      <c r="D301" t="s">
        <v>23</v>
      </c>
      <c r="E301" t="s">
        <v>15</v>
      </c>
      <c r="F301" t="s">
        <v>31</v>
      </c>
      <c r="G301" t="s">
        <v>18</v>
      </c>
      <c r="H301" t="s">
        <v>17</v>
      </c>
      <c r="I301" t="s">
        <v>19</v>
      </c>
      <c r="J301">
        <v>5.42</v>
      </c>
      <c r="K301">
        <v>113</v>
      </c>
      <c r="L301" t="s">
        <v>25</v>
      </c>
      <c r="M301" t="str">
        <f t="shared" si="8"/>
        <v>Delayed</v>
      </c>
      <c r="N301" t="str">
        <f t="shared" si="9"/>
        <v>Bangalore → Delhi</v>
      </c>
    </row>
    <row r="302" spans="1:14">
      <c r="A302" s="1">
        <v>45317</v>
      </c>
      <c r="B302" t="s">
        <v>35</v>
      </c>
      <c r="C302" t="s">
        <v>323</v>
      </c>
      <c r="D302" t="s">
        <v>15</v>
      </c>
      <c r="E302" t="s">
        <v>16</v>
      </c>
      <c r="F302" t="s">
        <v>28</v>
      </c>
      <c r="G302" t="s">
        <v>18</v>
      </c>
      <c r="H302" t="s">
        <v>28</v>
      </c>
      <c r="I302" t="s">
        <v>19</v>
      </c>
      <c r="J302">
        <v>11.59</v>
      </c>
      <c r="K302">
        <v>98</v>
      </c>
      <c r="L302" t="s">
        <v>34</v>
      </c>
      <c r="M302" t="str">
        <f t="shared" si="8"/>
        <v>Delayed</v>
      </c>
      <c r="N302" t="str">
        <f t="shared" si="9"/>
        <v>Delhi → Chennai</v>
      </c>
    </row>
    <row r="303" spans="1:14">
      <c r="A303" s="1">
        <v>45312</v>
      </c>
      <c r="B303" t="s">
        <v>45</v>
      </c>
      <c r="C303" t="s">
        <v>324</v>
      </c>
      <c r="D303" t="s">
        <v>40</v>
      </c>
      <c r="E303" t="s">
        <v>27</v>
      </c>
      <c r="F303" t="s">
        <v>24</v>
      </c>
      <c r="G303" t="s">
        <v>18</v>
      </c>
      <c r="H303" t="s">
        <v>28</v>
      </c>
      <c r="I303" t="s">
        <v>19</v>
      </c>
      <c r="J303">
        <v>8.73</v>
      </c>
      <c r="K303">
        <v>53</v>
      </c>
      <c r="L303" t="s">
        <v>34</v>
      </c>
      <c r="M303" t="str">
        <f t="shared" si="8"/>
        <v>Delayed</v>
      </c>
      <c r="N303" t="str">
        <f t="shared" si="9"/>
        <v>Kolkata → Hyderabad</v>
      </c>
    </row>
    <row r="304" spans="1:14">
      <c r="A304" s="1">
        <v>45303</v>
      </c>
      <c r="B304" t="s">
        <v>13</v>
      </c>
      <c r="C304" t="s">
        <v>325</v>
      </c>
      <c r="D304" t="s">
        <v>40</v>
      </c>
      <c r="E304" t="s">
        <v>27</v>
      </c>
      <c r="F304" t="s">
        <v>32</v>
      </c>
      <c r="G304" t="s">
        <v>18</v>
      </c>
      <c r="H304" t="s">
        <v>24</v>
      </c>
      <c r="I304" t="s">
        <v>19</v>
      </c>
      <c r="J304">
        <v>3.82</v>
      </c>
      <c r="K304">
        <v>82</v>
      </c>
      <c r="L304" t="s">
        <v>34</v>
      </c>
      <c r="M304" t="str">
        <f t="shared" si="8"/>
        <v>Delayed</v>
      </c>
      <c r="N304" t="str">
        <f t="shared" si="9"/>
        <v>Kolkata → Hyderabad</v>
      </c>
    </row>
    <row r="305" spans="1:14">
      <c r="A305" s="1">
        <v>45298</v>
      </c>
      <c r="B305" t="s">
        <v>38</v>
      </c>
      <c r="C305" t="s">
        <v>326</v>
      </c>
      <c r="D305" t="s">
        <v>22</v>
      </c>
      <c r="E305" t="s">
        <v>16</v>
      </c>
      <c r="F305" t="s">
        <v>31</v>
      </c>
      <c r="G305" t="s">
        <v>37</v>
      </c>
      <c r="H305" t="s">
        <v>17</v>
      </c>
      <c r="I305" t="s">
        <v>33</v>
      </c>
      <c r="J305">
        <v>10.130000000000001</v>
      </c>
      <c r="K305">
        <v>0</v>
      </c>
      <c r="L305" t="s">
        <v>20</v>
      </c>
      <c r="M305" t="str">
        <f t="shared" si="8"/>
        <v>On Time</v>
      </c>
      <c r="N305" t="str">
        <f t="shared" si="9"/>
        <v>Mumbai → Chennai</v>
      </c>
    </row>
    <row r="306" spans="1:14">
      <c r="A306" s="1">
        <v>45332</v>
      </c>
      <c r="B306" t="s">
        <v>29</v>
      </c>
      <c r="C306" t="s">
        <v>327</v>
      </c>
      <c r="D306" t="s">
        <v>16</v>
      </c>
      <c r="E306" t="s">
        <v>15</v>
      </c>
      <c r="F306" t="s">
        <v>28</v>
      </c>
      <c r="G306" t="s">
        <v>18</v>
      </c>
      <c r="H306" t="s">
        <v>17</v>
      </c>
      <c r="I306" t="s">
        <v>19</v>
      </c>
      <c r="J306">
        <v>9.06</v>
      </c>
      <c r="K306">
        <v>49</v>
      </c>
      <c r="L306" t="s">
        <v>25</v>
      </c>
      <c r="M306" t="str">
        <f t="shared" si="8"/>
        <v>Delayed</v>
      </c>
      <c r="N306" t="str">
        <f t="shared" si="9"/>
        <v>Chennai → Delhi</v>
      </c>
    </row>
    <row r="307" spans="1:14">
      <c r="A307" s="1">
        <v>45316</v>
      </c>
      <c r="B307" t="s">
        <v>38</v>
      </c>
      <c r="C307" t="s">
        <v>328</v>
      </c>
      <c r="D307" t="s">
        <v>40</v>
      </c>
      <c r="E307" t="s">
        <v>16</v>
      </c>
      <c r="F307" t="s">
        <v>17</v>
      </c>
      <c r="G307" t="s">
        <v>37</v>
      </c>
      <c r="H307" t="s">
        <v>32</v>
      </c>
      <c r="I307" t="s">
        <v>33</v>
      </c>
      <c r="J307">
        <v>10.199999999999999</v>
      </c>
      <c r="K307">
        <v>49</v>
      </c>
      <c r="L307" t="s">
        <v>25</v>
      </c>
      <c r="M307" t="str">
        <f t="shared" si="8"/>
        <v>Delayed</v>
      </c>
      <c r="N307" t="str">
        <f t="shared" si="9"/>
        <v>Kolkata → Chennai</v>
      </c>
    </row>
    <row r="308" spans="1:14">
      <c r="A308" s="1">
        <v>45347</v>
      </c>
      <c r="B308" t="s">
        <v>35</v>
      </c>
      <c r="C308" t="s">
        <v>329</v>
      </c>
      <c r="D308" t="s">
        <v>40</v>
      </c>
      <c r="E308" t="s">
        <v>22</v>
      </c>
      <c r="F308" t="s">
        <v>17</v>
      </c>
      <c r="G308" t="s">
        <v>18</v>
      </c>
      <c r="H308" t="s">
        <v>32</v>
      </c>
      <c r="I308" t="s">
        <v>19</v>
      </c>
      <c r="J308">
        <v>4.8499999999999996</v>
      </c>
      <c r="K308">
        <v>0</v>
      </c>
      <c r="L308" t="s">
        <v>20</v>
      </c>
      <c r="M308" t="str">
        <f t="shared" si="8"/>
        <v>On Time</v>
      </c>
      <c r="N308" t="str">
        <f t="shared" si="9"/>
        <v>Kolkata → Mumbai</v>
      </c>
    </row>
    <row r="309" spans="1:14">
      <c r="A309" s="1">
        <v>45296</v>
      </c>
      <c r="B309" t="s">
        <v>29</v>
      </c>
      <c r="C309" t="s">
        <v>330</v>
      </c>
      <c r="D309" t="s">
        <v>22</v>
      </c>
      <c r="E309" t="s">
        <v>27</v>
      </c>
      <c r="F309" t="s">
        <v>17</v>
      </c>
      <c r="G309" t="s">
        <v>18</v>
      </c>
      <c r="H309" t="s">
        <v>31</v>
      </c>
      <c r="I309" t="s">
        <v>33</v>
      </c>
      <c r="J309">
        <v>1.83</v>
      </c>
      <c r="K309">
        <v>81</v>
      </c>
      <c r="L309" t="s">
        <v>34</v>
      </c>
      <c r="M309" t="str">
        <f t="shared" si="8"/>
        <v>Delayed</v>
      </c>
      <c r="N309" t="str">
        <f t="shared" si="9"/>
        <v>Mumbai → Hyderabad</v>
      </c>
    </row>
    <row r="310" spans="1:14">
      <c r="A310" s="1">
        <v>45302</v>
      </c>
      <c r="B310" t="s">
        <v>35</v>
      </c>
      <c r="C310" t="s">
        <v>331</v>
      </c>
      <c r="D310" t="s">
        <v>16</v>
      </c>
      <c r="E310" t="s">
        <v>22</v>
      </c>
      <c r="F310" t="s">
        <v>31</v>
      </c>
      <c r="G310" t="s">
        <v>37</v>
      </c>
      <c r="H310" t="s">
        <v>31</v>
      </c>
      <c r="I310" t="s">
        <v>19</v>
      </c>
      <c r="J310">
        <v>7.32</v>
      </c>
      <c r="K310">
        <v>29</v>
      </c>
      <c r="L310" t="s">
        <v>34</v>
      </c>
      <c r="M310" t="str">
        <f t="shared" si="8"/>
        <v>Delayed</v>
      </c>
      <c r="N310" t="str">
        <f t="shared" si="9"/>
        <v>Chennai → Mumbai</v>
      </c>
    </row>
    <row r="311" spans="1:14">
      <c r="A311" s="1">
        <v>45326</v>
      </c>
      <c r="B311" t="s">
        <v>29</v>
      </c>
      <c r="C311" t="s">
        <v>332</v>
      </c>
      <c r="D311" t="s">
        <v>40</v>
      </c>
      <c r="E311" t="s">
        <v>23</v>
      </c>
      <c r="F311" t="s">
        <v>28</v>
      </c>
      <c r="G311" t="s">
        <v>18</v>
      </c>
      <c r="H311" t="s">
        <v>17</v>
      </c>
      <c r="I311" t="s">
        <v>19</v>
      </c>
      <c r="J311">
        <v>2.0699999999999998</v>
      </c>
      <c r="K311">
        <v>55</v>
      </c>
      <c r="L311" t="s">
        <v>25</v>
      </c>
      <c r="M311" t="str">
        <f t="shared" si="8"/>
        <v>Delayed</v>
      </c>
      <c r="N311" t="str">
        <f t="shared" si="9"/>
        <v>Kolkata → Bangalore</v>
      </c>
    </row>
    <row r="312" spans="1:14">
      <c r="A312" s="1">
        <v>45319</v>
      </c>
      <c r="B312" t="s">
        <v>13</v>
      </c>
      <c r="C312" t="s">
        <v>333</v>
      </c>
      <c r="D312" t="s">
        <v>23</v>
      </c>
      <c r="E312" t="s">
        <v>40</v>
      </c>
      <c r="F312" t="s">
        <v>32</v>
      </c>
      <c r="G312" t="s">
        <v>18</v>
      </c>
      <c r="H312" t="s">
        <v>17</v>
      </c>
      <c r="I312" t="s">
        <v>19</v>
      </c>
      <c r="J312">
        <v>8.1999999999999993</v>
      </c>
      <c r="K312">
        <v>0</v>
      </c>
      <c r="L312" t="s">
        <v>20</v>
      </c>
      <c r="M312" t="str">
        <f t="shared" si="8"/>
        <v>On Time</v>
      </c>
      <c r="N312" t="str">
        <f t="shared" si="9"/>
        <v>Bangalore → Kolkata</v>
      </c>
    </row>
    <row r="313" spans="1:14">
      <c r="A313" s="1">
        <v>45322</v>
      </c>
      <c r="B313" t="s">
        <v>13</v>
      </c>
      <c r="C313" t="s">
        <v>334</v>
      </c>
      <c r="D313" t="s">
        <v>23</v>
      </c>
      <c r="E313" t="s">
        <v>27</v>
      </c>
      <c r="F313" t="s">
        <v>32</v>
      </c>
      <c r="G313" t="s">
        <v>37</v>
      </c>
      <c r="H313" t="s">
        <v>32</v>
      </c>
      <c r="I313" t="s">
        <v>19</v>
      </c>
      <c r="J313">
        <v>5.4</v>
      </c>
      <c r="K313">
        <v>87</v>
      </c>
      <c r="L313" t="s">
        <v>25</v>
      </c>
      <c r="M313" t="str">
        <f t="shared" si="8"/>
        <v>Delayed</v>
      </c>
      <c r="N313" t="str">
        <f t="shared" si="9"/>
        <v>Bangalore → Hyderabad</v>
      </c>
    </row>
    <row r="314" spans="1:14">
      <c r="A314" s="1">
        <v>45315</v>
      </c>
      <c r="B314" t="s">
        <v>45</v>
      </c>
      <c r="C314" t="s">
        <v>335</v>
      </c>
      <c r="D314" t="s">
        <v>16</v>
      </c>
      <c r="E314" t="s">
        <v>15</v>
      </c>
      <c r="F314" t="s">
        <v>28</v>
      </c>
      <c r="G314" t="s">
        <v>37</v>
      </c>
      <c r="H314" t="s">
        <v>32</v>
      </c>
      <c r="I314" t="s">
        <v>33</v>
      </c>
      <c r="J314">
        <v>2.15</v>
      </c>
      <c r="K314">
        <v>33</v>
      </c>
      <c r="L314" t="s">
        <v>34</v>
      </c>
      <c r="M314" t="str">
        <f t="shared" si="8"/>
        <v>Delayed</v>
      </c>
      <c r="N314" t="str">
        <f t="shared" si="9"/>
        <v>Chennai → Delhi</v>
      </c>
    </row>
    <row r="315" spans="1:14">
      <c r="A315" s="1">
        <v>45336</v>
      </c>
      <c r="B315" t="s">
        <v>13</v>
      </c>
      <c r="C315" t="s">
        <v>336</v>
      </c>
      <c r="D315" t="s">
        <v>15</v>
      </c>
      <c r="E315" t="s">
        <v>16</v>
      </c>
      <c r="F315" t="s">
        <v>24</v>
      </c>
      <c r="G315" t="s">
        <v>18</v>
      </c>
      <c r="H315" t="s">
        <v>32</v>
      </c>
      <c r="I315" t="s">
        <v>19</v>
      </c>
      <c r="J315">
        <v>5.9</v>
      </c>
      <c r="K315">
        <v>112</v>
      </c>
      <c r="L315" t="s">
        <v>34</v>
      </c>
      <c r="M315" t="str">
        <f t="shared" si="8"/>
        <v>Delayed</v>
      </c>
      <c r="N315" t="str">
        <f t="shared" si="9"/>
        <v>Delhi → Chennai</v>
      </c>
    </row>
    <row r="316" spans="1:14">
      <c r="A316" s="1">
        <v>45335</v>
      </c>
      <c r="B316" t="s">
        <v>38</v>
      </c>
      <c r="C316" t="s">
        <v>337</v>
      </c>
      <c r="D316" t="s">
        <v>27</v>
      </c>
      <c r="E316" t="s">
        <v>22</v>
      </c>
      <c r="F316" t="s">
        <v>32</v>
      </c>
      <c r="G316" t="s">
        <v>18</v>
      </c>
      <c r="H316" t="s">
        <v>28</v>
      </c>
      <c r="I316" t="s">
        <v>33</v>
      </c>
      <c r="J316">
        <v>6.77</v>
      </c>
      <c r="K316">
        <v>0</v>
      </c>
      <c r="L316" t="s">
        <v>20</v>
      </c>
      <c r="M316" t="str">
        <f t="shared" si="8"/>
        <v>On Time</v>
      </c>
      <c r="N316" t="str">
        <f t="shared" si="9"/>
        <v>Hyderabad → Mumbai</v>
      </c>
    </row>
    <row r="317" spans="1:14">
      <c r="A317" s="1">
        <v>45343</v>
      </c>
      <c r="B317" t="s">
        <v>35</v>
      </c>
      <c r="C317" t="s">
        <v>338</v>
      </c>
      <c r="D317" t="s">
        <v>40</v>
      </c>
      <c r="E317" t="s">
        <v>27</v>
      </c>
      <c r="F317" t="s">
        <v>17</v>
      </c>
      <c r="G317" t="s">
        <v>37</v>
      </c>
      <c r="H317" t="s">
        <v>31</v>
      </c>
      <c r="I317" t="s">
        <v>19</v>
      </c>
      <c r="J317">
        <v>9.99</v>
      </c>
      <c r="K317">
        <v>0</v>
      </c>
      <c r="L317" t="s">
        <v>20</v>
      </c>
      <c r="M317" t="str">
        <f t="shared" si="8"/>
        <v>On Time</v>
      </c>
      <c r="N317" t="str">
        <f t="shared" si="9"/>
        <v>Kolkata → Hyderabad</v>
      </c>
    </row>
    <row r="318" spans="1:14">
      <c r="A318" s="1">
        <v>45294</v>
      </c>
      <c r="B318" t="s">
        <v>38</v>
      </c>
      <c r="C318" t="s">
        <v>339</v>
      </c>
      <c r="D318" t="s">
        <v>15</v>
      </c>
      <c r="E318" t="s">
        <v>27</v>
      </c>
      <c r="F318" t="s">
        <v>17</v>
      </c>
      <c r="G318" t="s">
        <v>37</v>
      </c>
      <c r="H318" t="s">
        <v>17</v>
      </c>
      <c r="I318" t="s">
        <v>33</v>
      </c>
      <c r="J318">
        <v>2.41</v>
      </c>
      <c r="K318">
        <v>0</v>
      </c>
      <c r="L318" t="s">
        <v>20</v>
      </c>
      <c r="M318" t="str">
        <f t="shared" si="8"/>
        <v>On Time</v>
      </c>
      <c r="N318" t="str">
        <f t="shared" si="9"/>
        <v>Delhi → Hyderabad</v>
      </c>
    </row>
    <row r="319" spans="1:14">
      <c r="A319" s="1">
        <v>45317</v>
      </c>
      <c r="B319" t="s">
        <v>35</v>
      </c>
      <c r="C319" t="s">
        <v>340</v>
      </c>
      <c r="D319" t="s">
        <v>23</v>
      </c>
      <c r="E319" t="s">
        <v>16</v>
      </c>
      <c r="F319" t="s">
        <v>24</v>
      </c>
      <c r="G319" t="s">
        <v>18</v>
      </c>
      <c r="H319" t="s">
        <v>32</v>
      </c>
      <c r="I319" t="s">
        <v>33</v>
      </c>
      <c r="J319">
        <v>3.06</v>
      </c>
      <c r="K319">
        <v>19</v>
      </c>
      <c r="L319" t="s">
        <v>25</v>
      </c>
      <c r="M319" t="str">
        <f t="shared" si="8"/>
        <v>Delayed</v>
      </c>
      <c r="N319" t="str">
        <f t="shared" si="9"/>
        <v>Bangalore → Chennai</v>
      </c>
    </row>
    <row r="320" spans="1:14">
      <c r="A320" s="1">
        <v>45329</v>
      </c>
      <c r="B320" t="s">
        <v>13</v>
      </c>
      <c r="C320" t="s">
        <v>297</v>
      </c>
      <c r="D320" t="s">
        <v>15</v>
      </c>
      <c r="E320" t="s">
        <v>40</v>
      </c>
      <c r="F320" t="s">
        <v>31</v>
      </c>
      <c r="G320" t="s">
        <v>37</v>
      </c>
      <c r="H320" t="s">
        <v>28</v>
      </c>
      <c r="I320" t="s">
        <v>33</v>
      </c>
      <c r="J320">
        <v>6.6</v>
      </c>
      <c r="K320">
        <v>38</v>
      </c>
      <c r="L320" t="s">
        <v>34</v>
      </c>
      <c r="M320" t="str">
        <f t="shared" si="8"/>
        <v>Delayed</v>
      </c>
      <c r="N320" t="str">
        <f t="shared" si="9"/>
        <v>Delhi → Kolkata</v>
      </c>
    </row>
    <row r="321" spans="1:14">
      <c r="A321" s="1">
        <v>45322</v>
      </c>
      <c r="B321" t="s">
        <v>13</v>
      </c>
      <c r="C321" t="s">
        <v>341</v>
      </c>
      <c r="D321" t="s">
        <v>22</v>
      </c>
      <c r="E321" t="s">
        <v>16</v>
      </c>
      <c r="F321" t="s">
        <v>32</v>
      </c>
      <c r="G321" t="s">
        <v>37</v>
      </c>
      <c r="H321" t="s">
        <v>17</v>
      </c>
      <c r="I321" t="s">
        <v>19</v>
      </c>
      <c r="J321">
        <v>3.99</v>
      </c>
      <c r="K321">
        <v>55</v>
      </c>
      <c r="L321" t="s">
        <v>34</v>
      </c>
      <c r="M321" t="str">
        <f t="shared" si="8"/>
        <v>Delayed</v>
      </c>
      <c r="N321" t="str">
        <f t="shared" si="9"/>
        <v>Mumbai → Chennai</v>
      </c>
    </row>
    <row r="322" spans="1:14">
      <c r="A322" s="1">
        <v>45322</v>
      </c>
      <c r="B322" t="s">
        <v>29</v>
      </c>
      <c r="C322" t="s">
        <v>342</v>
      </c>
      <c r="D322" t="s">
        <v>23</v>
      </c>
      <c r="E322" t="s">
        <v>15</v>
      </c>
      <c r="F322" t="s">
        <v>28</v>
      </c>
      <c r="G322" t="s">
        <v>37</v>
      </c>
      <c r="H322" t="s">
        <v>28</v>
      </c>
      <c r="I322" t="s">
        <v>33</v>
      </c>
      <c r="J322">
        <v>8.69</v>
      </c>
      <c r="K322">
        <v>112</v>
      </c>
      <c r="L322" t="s">
        <v>34</v>
      </c>
      <c r="M322" t="str">
        <f t="shared" ref="M322:M385" si="10">IF(K322=0,"On Time","Delayed")</f>
        <v>Delayed</v>
      </c>
      <c r="N322" t="str">
        <f t="shared" ref="N322:N385" si="11">D322 &amp; " → " &amp; E322</f>
        <v>Bangalore → Delhi</v>
      </c>
    </row>
    <row r="323" spans="1:14">
      <c r="A323" s="1">
        <v>45306</v>
      </c>
      <c r="B323" t="s">
        <v>45</v>
      </c>
      <c r="C323" t="s">
        <v>343</v>
      </c>
      <c r="D323" t="s">
        <v>23</v>
      </c>
      <c r="E323" t="s">
        <v>27</v>
      </c>
      <c r="F323" t="s">
        <v>28</v>
      </c>
      <c r="G323" t="s">
        <v>37</v>
      </c>
      <c r="H323" t="s">
        <v>28</v>
      </c>
      <c r="I323" t="s">
        <v>19</v>
      </c>
      <c r="J323">
        <v>11.09</v>
      </c>
      <c r="K323">
        <v>29</v>
      </c>
      <c r="L323" t="s">
        <v>25</v>
      </c>
      <c r="M323" t="str">
        <f t="shared" si="10"/>
        <v>Delayed</v>
      </c>
      <c r="N323" t="str">
        <f t="shared" si="11"/>
        <v>Bangalore → Hyderabad</v>
      </c>
    </row>
    <row r="324" spans="1:14">
      <c r="A324" s="1">
        <v>45339</v>
      </c>
      <c r="B324" t="s">
        <v>38</v>
      </c>
      <c r="C324" t="s">
        <v>344</v>
      </c>
      <c r="D324" t="s">
        <v>27</v>
      </c>
      <c r="E324" t="s">
        <v>23</v>
      </c>
      <c r="F324" t="s">
        <v>31</v>
      </c>
      <c r="G324" t="s">
        <v>18</v>
      </c>
      <c r="H324" t="s">
        <v>24</v>
      </c>
      <c r="I324" t="s">
        <v>19</v>
      </c>
      <c r="J324">
        <v>9.6999999999999993</v>
      </c>
      <c r="K324">
        <v>44</v>
      </c>
      <c r="L324" t="s">
        <v>25</v>
      </c>
      <c r="M324" t="str">
        <f t="shared" si="10"/>
        <v>Delayed</v>
      </c>
      <c r="N324" t="str">
        <f t="shared" si="11"/>
        <v>Hyderabad → Bangalore</v>
      </c>
    </row>
    <row r="325" spans="1:14">
      <c r="A325" s="1">
        <v>45348</v>
      </c>
      <c r="B325" t="s">
        <v>35</v>
      </c>
      <c r="C325" t="s">
        <v>345</v>
      </c>
      <c r="D325" t="s">
        <v>15</v>
      </c>
      <c r="E325" t="s">
        <v>23</v>
      </c>
      <c r="F325" t="s">
        <v>17</v>
      </c>
      <c r="G325" t="s">
        <v>18</v>
      </c>
      <c r="H325" t="s">
        <v>17</v>
      </c>
      <c r="I325" t="s">
        <v>19</v>
      </c>
      <c r="J325">
        <v>11.14</v>
      </c>
      <c r="K325">
        <v>9</v>
      </c>
      <c r="L325" t="s">
        <v>25</v>
      </c>
      <c r="M325" t="str">
        <f t="shared" si="10"/>
        <v>Delayed</v>
      </c>
      <c r="N325" t="str">
        <f t="shared" si="11"/>
        <v>Delhi → Bangalore</v>
      </c>
    </row>
    <row r="326" spans="1:14">
      <c r="A326" s="1">
        <v>45304</v>
      </c>
      <c r="B326" t="s">
        <v>29</v>
      </c>
      <c r="C326" t="s">
        <v>346</v>
      </c>
      <c r="D326" t="s">
        <v>23</v>
      </c>
      <c r="E326" t="s">
        <v>27</v>
      </c>
      <c r="F326" t="s">
        <v>24</v>
      </c>
      <c r="G326" t="s">
        <v>18</v>
      </c>
      <c r="H326" t="s">
        <v>32</v>
      </c>
      <c r="I326" t="s">
        <v>19</v>
      </c>
      <c r="J326">
        <v>7.74</v>
      </c>
      <c r="K326">
        <v>35</v>
      </c>
      <c r="L326" t="s">
        <v>52</v>
      </c>
      <c r="M326" t="str">
        <f t="shared" si="10"/>
        <v>Delayed</v>
      </c>
      <c r="N326" t="str">
        <f t="shared" si="11"/>
        <v>Bangalore → Hyderabad</v>
      </c>
    </row>
    <row r="327" spans="1:14">
      <c r="A327" s="1">
        <v>45347</v>
      </c>
      <c r="B327" t="s">
        <v>38</v>
      </c>
      <c r="C327" t="s">
        <v>347</v>
      </c>
      <c r="D327" t="s">
        <v>27</v>
      </c>
      <c r="E327" t="s">
        <v>40</v>
      </c>
      <c r="F327" t="s">
        <v>28</v>
      </c>
      <c r="G327" t="s">
        <v>18</v>
      </c>
      <c r="H327" t="s">
        <v>28</v>
      </c>
      <c r="I327" t="s">
        <v>33</v>
      </c>
      <c r="J327">
        <v>4.49</v>
      </c>
      <c r="K327">
        <v>0</v>
      </c>
      <c r="L327" t="s">
        <v>20</v>
      </c>
      <c r="M327" t="str">
        <f t="shared" si="10"/>
        <v>On Time</v>
      </c>
      <c r="N327" t="str">
        <f t="shared" si="11"/>
        <v>Hyderabad → Kolkata</v>
      </c>
    </row>
    <row r="328" spans="1:14">
      <c r="A328" s="1">
        <v>45295</v>
      </c>
      <c r="B328" t="s">
        <v>45</v>
      </c>
      <c r="C328" t="s">
        <v>348</v>
      </c>
      <c r="D328" t="s">
        <v>27</v>
      </c>
      <c r="E328" t="s">
        <v>22</v>
      </c>
      <c r="F328" t="s">
        <v>17</v>
      </c>
      <c r="G328" t="s">
        <v>18</v>
      </c>
      <c r="H328" t="s">
        <v>17</v>
      </c>
      <c r="I328" t="s">
        <v>33</v>
      </c>
      <c r="J328">
        <v>1.71</v>
      </c>
      <c r="K328">
        <v>88</v>
      </c>
      <c r="L328" t="s">
        <v>34</v>
      </c>
      <c r="M328" t="str">
        <f t="shared" si="10"/>
        <v>Delayed</v>
      </c>
      <c r="N328" t="str">
        <f t="shared" si="11"/>
        <v>Hyderabad → Mumbai</v>
      </c>
    </row>
    <row r="329" spans="1:14">
      <c r="A329" s="1">
        <v>45341</v>
      </c>
      <c r="B329" t="s">
        <v>13</v>
      </c>
      <c r="C329" t="s">
        <v>349</v>
      </c>
      <c r="D329" t="s">
        <v>16</v>
      </c>
      <c r="E329" t="s">
        <v>22</v>
      </c>
      <c r="F329" t="s">
        <v>17</v>
      </c>
      <c r="G329" t="s">
        <v>18</v>
      </c>
      <c r="H329" t="s">
        <v>24</v>
      </c>
      <c r="I329" t="s">
        <v>19</v>
      </c>
      <c r="J329">
        <v>11.65</v>
      </c>
      <c r="K329">
        <v>37</v>
      </c>
      <c r="L329" t="s">
        <v>34</v>
      </c>
      <c r="M329" t="str">
        <f t="shared" si="10"/>
        <v>Delayed</v>
      </c>
      <c r="N329" t="str">
        <f t="shared" si="11"/>
        <v>Chennai → Mumbai</v>
      </c>
    </row>
    <row r="330" spans="1:14">
      <c r="A330" s="1">
        <v>45309</v>
      </c>
      <c r="B330" t="s">
        <v>38</v>
      </c>
      <c r="C330" t="s">
        <v>350</v>
      </c>
      <c r="D330" t="s">
        <v>16</v>
      </c>
      <c r="E330" t="s">
        <v>23</v>
      </c>
      <c r="F330" t="s">
        <v>32</v>
      </c>
      <c r="G330" t="s">
        <v>18</v>
      </c>
      <c r="H330" t="s">
        <v>28</v>
      </c>
      <c r="I330" t="s">
        <v>33</v>
      </c>
      <c r="J330">
        <v>2.57</v>
      </c>
      <c r="K330">
        <v>43</v>
      </c>
      <c r="L330" t="s">
        <v>34</v>
      </c>
      <c r="M330" t="str">
        <f t="shared" si="10"/>
        <v>Delayed</v>
      </c>
      <c r="N330" t="str">
        <f t="shared" si="11"/>
        <v>Chennai → Bangalore</v>
      </c>
    </row>
    <row r="331" spans="1:14">
      <c r="A331" s="1">
        <v>45334</v>
      </c>
      <c r="B331" t="s">
        <v>29</v>
      </c>
      <c r="C331" t="s">
        <v>101</v>
      </c>
      <c r="D331" t="s">
        <v>27</v>
      </c>
      <c r="E331" t="s">
        <v>40</v>
      </c>
      <c r="F331" t="s">
        <v>24</v>
      </c>
      <c r="G331" t="s">
        <v>37</v>
      </c>
      <c r="H331" t="s">
        <v>28</v>
      </c>
      <c r="I331" t="s">
        <v>19</v>
      </c>
      <c r="J331">
        <v>5.03</v>
      </c>
      <c r="K331">
        <v>0</v>
      </c>
      <c r="L331" t="s">
        <v>20</v>
      </c>
      <c r="M331" t="str">
        <f t="shared" si="10"/>
        <v>On Time</v>
      </c>
      <c r="N331" t="str">
        <f t="shared" si="11"/>
        <v>Hyderabad → Kolkata</v>
      </c>
    </row>
    <row r="332" spans="1:14">
      <c r="A332" s="1">
        <v>45332</v>
      </c>
      <c r="B332" t="s">
        <v>29</v>
      </c>
      <c r="C332" t="s">
        <v>351</v>
      </c>
      <c r="D332" t="s">
        <v>23</v>
      </c>
      <c r="E332" t="s">
        <v>16</v>
      </c>
      <c r="F332" t="s">
        <v>28</v>
      </c>
      <c r="G332" t="s">
        <v>18</v>
      </c>
      <c r="H332" t="s">
        <v>17</v>
      </c>
      <c r="I332" t="s">
        <v>19</v>
      </c>
      <c r="J332">
        <v>9.9600000000000009</v>
      </c>
      <c r="K332">
        <v>0</v>
      </c>
      <c r="L332" t="s">
        <v>20</v>
      </c>
      <c r="M332" t="str">
        <f t="shared" si="10"/>
        <v>On Time</v>
      </c>
      <c r="N332" t="str">
        <f t="shared" si="11"/>
        <v>Bangalore → Chennai</v>
      </c>
    </row>
    <row r="333" spans="1:14">
      <c r="A333" s="1">
        <v>45343</v>
      </c>
      <c r="B333" t="s">
        <v>35</v>
      </c>
      <c r="C333" t="s">
        <v>352</v>
      </c>
      <c r="D333" t="s">
        <v>16</v>
      </c>
      <c r="E333" t="s">
        <v>23</v>
      </c>
      <c r="F333" t="s">
        <v>17</v>
      </c>
      <c r="G333" t="s">
        <v>37</v>
      </c>
      <c r="H333" t="s">
        <v>31</v>
      </c>
      <c r="I333" t="s">
        <v>33</v>
      </c>
      <c r="J333">
        <v>5.58</v>
      </c>
      <c r="K333">
        <v>38</v>
      </c>
      <c r="L333" t="s">
        <v>52</v>
      </c>
      <c r="M333" t="str">
        <f t="shared" si="10"/>
        <v>Delayed</v>
      </c>
      <c r="N333" t="str">
        <f t="shared" si="11"/>
        <v>Chennai → Bangalore</v>
      </c>
    </row>
    <row r="334" spans="1:14">
      <c r="A334" s="1">
        <v>45329</v>
      </c>
      <c r="B334" t="s">
        <v>35</v>
      </c>
      <c r="C334" t="s">
        <v>353</v>
      </c>
      <c r="D334" t="s">
        <v>22</v>
      </c>
      <c r="E334" t="s">
        <v>16</v>
      </c>
      <c r="F334" t="s">
        <v>17</v>
      </c>
      <c r="G334" t="s">
        <v>37</v>
      </c>
      <c r="H334" t="s">
        <v>24</v>
      </c>
      <c r="I334" t="s">
        <v>33</v>
      </c>
      <c r="J334">
        <v>10.33</v>
      </c>
      <c r="K334">
        <v>69</v>
      </c>
      <c r="L334" t="s">
        <v>25</v>
      </c>
      <c r="M334" t="str">
        <f t="shared" si="10"/>
        <v>Delayed</v>
      </c>
      <c r="N334" t="str">
        <f t="shared" si="11"/>
        <v>Mumbai → Chennai</v>
      </c>
    </row>
    <row r="335" spans="1:14">
      <c r="A335" s="1">
        <v>45327</v>
      </c>
      <c r="B335" t="s">
        <v>45</v>
      </c>
      <c r="C335" t="s">
        <v>354</v>
      </c>
      <c r="D335" t="s">
        <v>23</v>
      </c>
      <c r="E335" t="s">
        <v>15</v>
      </c>
      <c r="F335" t="s">
        <v>32</v>
      </c>
      <c r="G335" t="s">
        <v>37</v>
      </c>
      <c r="H335" t="s">
        <v>17</v>
      </c>
      <c r="I335" t="s">
        <v>19</v>
      </c>
      <c r="J335">
        <v>2.44</v>
      </c>
      <c r="K335">
        <v>92</v>
      </c>
      <c r="L335" t="s">
        <v>34</v>
      </c>
      <c r="M335" t="str">
        <f t="shared" si="10"/>
        <v>Delayed</v>
      </c>
      <c r="N335" t="str">
        <f t="shared" si="11"/>
        <v>Bangalore → Delhi</v>
      </c>
    </row>
    <row r="336" spans="1:14">
      <c r="A336" s="1">
        <v>45306</v>
      </c>
      <c r="B336" t="s">
        <v>29</v>
      </c>
      <c r="C336" t="s">
        <v>355</v>
      </c>
      <c r="D336" t="s">
        <v>16</v>
      </c>
      <c r="E336" t="s">
        <v>23</v>
      </c>
      <c r="F336" t="s">
        <v>28</v>
      </c>
      <c r="G336" t="s">
        <v>37</v>
      </c>
      <c r="H336" t="s">
        <v>28</v>
      </c>
      <c r="I336" t="s">
        <v>33</v>
      </c>
      <c r="J336">
        <v>6.44</v>
      </c>
      <c r="K336">
        <v>0</v>
      </c>
      <c r="L336" t="s">
        <v>20</v>
      </c>
      <c r="M336" t="str">
        <f t="shared" si="10"/>
        <v>On Time</v>
      </c>
      <c r="N336" t="str">
        <f t="shared" si="11"/>
        <v>Chennai → Bangalore</v>
      </c>
    </row>
    <row r="337" spans="1:14">
      <c r="A337" s="1">
        <v>45332</v>
      </c>
      <c r="B337" t="s">
        <v>35</v>
      </c>
      <c r="C337" t="s">
        <v>356</v>
      </c>
      <c r="D337" t="s">
        <v>27</v>
      </c>
      <c r="E337" t="s">
        <v>40</v>
      </c>
      <c r="F337" t="s">
        <v>31</v>
      </c>
      <c r="G337" t="s">
        <v>18</v>
      </c>
      <c r="H337" t="s">
        <v>32</v>
      </c>
      <c r="I337" t="s">
        <v>19</v>
      </c>
      <c r="J337">
        <v>4.63</v>
      </c>
      <c r="K337">
        <v>116</v>
      </c>
      <c r="L337" t="s">
        <v>34</v>
      </c>
      <c r="M337" t="str">
        <f t="shared" si="10"/>
        <v>Delayed</v>
      </c>
      <c r="N337" t="str">
        <f t="shared" si="11"/>
        <v>Hyderabad → Kolkata</v>
      </c>
    </row>
    <row r="338" spans="1:14">
      <c r="A338" s="1">
        <v>45347</v>
      </c>
      <c r="B338" t="s">
        <v>45</v>
      </c>
      <c r="C338" t="s">
        <v>357</v>
      </c>
      <c r="D338" t="s">
        <v>22</v>
      </c>
      <c r="E338" t="s">
        <v>23</v>
      </c>
      <c r="F338" t="s">
        <v>28</v>
      </c>
      <c r="G338" t="s">
        <v>37</v>
      </c>
      <c r="H338" t="s">
        <v>32</v>
      </c>
      <c r="I338" t="s">
        <v>19</v>
      </c>
      <c r="J338">
        <v>9.68</v>
      </c>
      <c r="K338">
        <v>0</v>
      </c>
      <c r="L338" t="s">
        <v>20</v>
      </c>
      <c r="M338" t="str">
        <f t="shared" si="10"/>
        <v>On Time</v>
      </c>
      <c r="N338" t="str">
        <f t="shared" si="11"/>
        <v>Mumbai → Bangalore</v>
      </c>
    </row>
    <row r="339" spans="1:14">
      <c r="A339" s="1">
        <v>45313</v>
      </c>
      <c r="B339" t="s">
        <v>45</v>
      </c>
      <c r="C339" t="s">
        <v>82</v>
      </c>
      <c r="D339" t="s">
        <v>23</v>
      </c>
      <c r="E339" t="s">
        <v>15</v>
      </c>
      <c r="F339" t="s">
        <v>31</v>
      </c>
      <c r="G339" t="s">
        <v>37</v>
      </c>
      <c r="H339" t="s">
        <v>32</v>
      </c>
      <c r="I339" t="s">
        <v>19</v>
      </c>
      <c r="J339">
        <v>7.55</v>
      </c>
      <c r="K339">
        <v>0</v>
      </c>
      <c r="L339" t="s">
        <v>20</v>
      </c>
      <c r="M339" t="str">
        <f t="shared" si="10"/>
        <v>On Time</v>
      </c>
      <c r="N339" t="str">
        <f t="shared" si="11"/>
        <v>Bangalore → Delhi</v>
      </c>
    </row>
    <row r="340" spans="1:14">
      <c r="A340" s="1">
        <v>45323</v>
      </c>
      <c r="B340" t="s">
        <v>13</v>
      </c>
      <c r="C340" t="s">
        <v>358</v>
      </c>
      <c r="D340" t="s">
        <v>22</v>
      </c>
      <c r="E340" t="s">
        <v>40</v>
      </c>
      <c r="F340" t="s">
        <v>32</v>
      </c>
      <c r="G340" t="s">
        <v>37</v>
      </c>
      <c r="H340" t="s">
        <v>32</v>
      </c>
      <c r="I340" t="s">
        <v>33</v>
      </c>
      <c r="J340">
        <v>1.9</v>
      </c>
      <c r="K340">
        <v>66</v>
      </c>
      <c r="L340" t="s">
        <v>25</v>
      </c>
      <c r="M340" t="str">
        <f t="shared" si="10"/>
        <v>Delayed</v>
      </c>
      <c r="N340" t="str">
        <f t="shared" si="11"/>
        <v>Mumbai → Kolkata</v>
      </c>
    </row>
    <row r="341" spans="1:14">
      <c r="A341" s="1">
        <v>45338</v>
      </c>
      <c r="B341" t="s">
        <v>29</v>
      </c>
      <c r="C341" t="s">
        <v>359</v>
      </c>
      <c r="D341" t="s">
        <v>15</v>
      </c>
      <c r="E341" t="s">
        <v>16</v>
      </c>
      <c r="F341" t="s">
        <v>24</v>
      </c>
      <c r="G341" t="s">
        <v>18</v>
      </c>
      <c r="H341" t="s">
        <v>17</v>
      </c>
      <c r="I341" t="s">
        <v>19</v>
      </c>
      <c r="J341">
        <v>3.88</v>
      </c>
      <c r="K341">
        <v>0</v>
      </c>
      <c r="L341" t="s">
        <v>20</v>
      </c>
      <c r="M341" t="str">
        <f t="shared" si="10"/>
        <v>On Time</v>
      </c>
      <c r="N341" t="str">
        <f t="shared" si="11"/>
        <v>Delhi → Chennai</v>
      </c>
    </row>
    <row r="342" spans="1:14">
      <c r="A342" s="1">
        <v>45314</v>
      </c>
      <c r="B342" t="s">
        <v>29</v>
      </c>
      <c r="C342" t="s">
        <v>360</v>
      </c>
      <c r="D342" t="s">
        <v>22</v>
      </c>
      <c r="E342" t="s">
        <v>15</v>
      </c>
      <c r="F342" t="s">
        <v>32</v>
      </c>
      <c r="G342" t="s">
        <v>37</v>
      </c>
      <c r="H342" t="s">
        <v>24</v>
      </c>
      <c r="I342" t="s">
        <v>19</v>
      </c>
      <c r="J342">
        <v>4.63</v>
      </c>
      <c r="K342">
        <v>0</v>
      </c>
      <c r="L342" t="s">
        <v>20</v>
      </c>
      <c r="M342" t="str">
        <f t="shared" si="10"/>
        <v>On Time</v>
      </c>
      <c r="N342" t="str">
        <f t="shared" si="11"/>
        <v>Mumbai → Delhi</v>
      </c>
    </row>
    <row r="343" spans="1:14">
      <c r="A343" s="1">
        <v>45321</v>
      </c>
      <c r="B343" t="s">
        <v>35</v>
      </c>
      <c r="C343" t="s">
        <v>361</v>
      </c>
      <c r="D343" t="s">
        <v>27</v>
      </c>
      <c r="E343" t="s">
        <v>40</v>
      </c>
      <c r="F343" t="s">
        <v>28</v>
      </c>
      <c r="G343" t="s">
        <v>18</v>
      </c>
      <c r="H343" t="s">
        <v>32</v>
      </c>
      <c r="I343" t="s">
        <v>33</v>
      </c>
      <c r="J343">
        <v>9.3800000000000008</v>
      </c>
      <c r="K343">
        <v>120</v>
      </c>
      <c r="L343" t="s">
        <v>52</v>
      </c>
      <c r="M343" t="str">
        <f t="shared" si="10"/>
        <v>Delayed</v>
      </c>
      <c r="N343" t="str">
        <f t="shared" si="11"/>
        <v>Hyderabad → Kolkata</v>
      </c>
    </row>
    <row r="344" spans="1:14">
      <c r="A344" s="1">
        <v>45352</v>
      </c>
      <c r="B344" t="s">
        <v>38</v>
      </c>
      <c r="C344" t="s">
        <v>189</v>
      </c>
      <c r="D344" t="s">
        <v>15</v>
      </c>
      <c r="E344" t="s">
        <v>23</v>
      </c>
      <c r="F344" t="s">
        <v>17</v>
      </c>
      <c r="G344" t="s">
        <v>18</v>
      </c>
      <c r="H344" t="s">
        <v>17</v>
      </c>
      <c r="I344" t="s">
        <v>19</v>
      </c>
      <c r="J344">
        <v>2.79</v>
      </c>
      <c r="K344">
        <v>0</v>
      </c>
      <c r="L344" t="s">
        <v>20</v>
      </c>
      <c r="M344" t="str">
        <f t="shared" si="10"/>
        <v>On Time</v>
      </c>
      <c r="N344" t="str">
        <f t="shared" si="11"/>
        <v>Delhi → Bangalore</v>
      </c>
    </row>
    <row r="345" spans="1:14">
      <c r="A345" s="1">
        <v>45333</v>
      </c>
      <c r="B345" t="s">
        <v>13</v>
      </c>
      <c r="C345" t="s">
        <v>362</v>
      </c>
      <c r="D345" t="s">
        <v>16</v>
      </c>
      <c r="E345" t="s">
        <v>23</v>
      </c>
      <c r="F345" t="s">
        <v>24</v>
      </c>
      <c r="G345" t="s">
        <v>18</v>
      </c>
      <c r="H345" t="s">
        <v>24</v>
      </c>
      <c r="I345" t="s">
        <v>19</v>
      </c>
      <c r="J345">
        <v>8.36</v>
      </c>
      <c r="K345">
        <v>0</v>
      </c>
      <c r="L345" t="s">
        <v>20</v>
      </c>
      <c r="M345" t="str">
        <f t="shared" si="10"/>
        <v>On Time</v>
      </c>
      <c r="N345" t="str">
        <f t="shared" si="11"/>
        <v>Chennai → Bangalore</v>
      </c>
    </row>
    <row r="346" spans="1:14">
      <c r="A346" s="1">
        <v>45295</v>
      </c>
      <c r="B346" t="s">
        <v>13</v>
      </c>
      <c r="C346" t="s">
        <v>363</v>
      </c>
      <c r="D346" t="s">
        <v>16</v>
      </c>
      <c r="E346" t="s">
        <v>27</v>
      </c>
      <c r="F346" t="s">
        <v>32</v>
      </c>
      <c r="G346" t="s">
        <v>37</v>
      </c>
      <c r="H346" t="s">
        <v>31</v>
      </c>
      <c r="I346" t="s">
        <v>33</v>
      </c>
      <c r="J346">
        <v>3.66</v>
      </c>
      <c r="K346">
        <v>0</v>
      </c>
      <c r="L346" t="s">
        <v>20</v>
      </c>
      <c r="M346" t="str">
        <f t="shared" si="10"/>
        <v>On Time</v>
      </c>
      <c r="N346" t="str">
        <f t="shared" si="11"/>
        <v>Chennai → Hyderabad</v>
      </c>
    </row>
    <row r="347" spans="1:14">
      <c r="A347" s="1">
        <v>45332</v>
      </c>
      <c r="B347" t="s">
        <v>13</v>
      </c>
      <c r="C347" t="s">
        <v>364</v>
      </c>
      <c r="D347" t="s">
        <v>23</v>
      </c>
      <c r="E347" t="s">
        <v>27</v>
      </c>
      <c r="F347" t="s">
        <v>31</v>
      </c>
      <c r="G347" t="s">
        <v>37</v>
      </c>
      <c r="H347" t="s">
        <v>24</v>
      </c>
      <c r="I347" t="s">
        <v>19</v>
      </c>
      <c r="J347">
        <v>6.87</v>
      </c>
      <c r="K347">
        <v>0</v>
      </c>
      <c r="L347" t="s">
        <v>20</v>
      </c>
      <c r="M347" t="str">
        <f t="shared" si="10"/>
        <v>On Time</v>
      </c>
      <c r="N347" t="str">
        <f t="shared" si="11"/>
        <v>Bangalore → Hyderabad</v>
      </c>
    </row>
    <row r="348" spans="1:14">
      <c r="A348" s="1">
        <v>45299</v>
      </c>
      <c r="B348" t="s">
        <v>29</v>
      </c>
      <c r="C348" t="s">
        <v>365</v>
      </c>
      <c r="D348" t="s">
        <v>15</v>
      </c>
      <c r="E348" t="s">
        <v>22</v>
      </c>
      <c r="F348" t="s">
        <v>32</v>
      </c>
      <c r="G348" t="s">
        <v>18</v>
      </c>
      <c r="H348" t="s">
        <v>17</v>
      </c>
      <c r="I348" t="s">
        <v>33</v>
      </c>
      <c r="J348">
        <v>5.26</v>
      </c>
      <c r="K348">
        <v>0</v>
      </c>
      <c r="L348" t="s">
        <v>20</v>
      </c>
      <c r="M348" t="str">
        <f t="shared" si="10"/>
        <v>On Time</v>
      </c>
      <c r="N348" t="str">
        <f t="shared" si="11"/>
        <v>Delhi → Mumbai</v>
      </c>
    </row>
    <row r="349" spans="1:14">
      <c r="A349" s="1">
        <v>45310</v>
      </c>
      <c r="B349" t="s">
        <v>45</v>
      </c>
      <c r="C349" t="s">
        <v>216</v>
      </c>
      <c r="D349" t="s">
        <v>15</v>
      </c>
      <c r="E349" t="s">
        <v>40</v>
      </c>
      <c r="F349" t="s">
        <v>32</v>
      </c>
      <c r="G349" t="s">
        <v>37</v>
      </c>
      <c r="H349" t="s">
        <v>17</v>
      </c>
      <c r="I349" t="s">
        <v>33</v>
      </c>
      <c r="J349">
        <v>1.63</v>
      </c>
      <c r="K349">
        <v>0</v>
      </c>
      <c r="L349" t="s">
        <v>20</v>
      </c>
      <c r="M349" t="str">
        <f t="shared" si="10"/>
        <v>On Time</v>
      </c>
      <c r="N349" t="str">
        <f t="shared" si="11"/>
        <v>Delhi → Kolkata</v>
      </c>
    </row>
    <row r="350" spans="1:14">
      <c r="A350" s="1">
        <v>45350</v>
      </c>
      <c r="B350" t="s">
        <v>13</v>
      </c>
      <c r="C350" t="s">
        <v>366</v>
      </c>
      <c r="D350" t="s">
        <v>27</v>
      </c>
      <c r="E350" t="s">
        <v>16</v>
      </c>
      <c r="F350" t="s">
        <v>17</v>
      </c>
      <c r="G350" t="s">
        <v>18</v>
      </c>
      <c r="H350" t="s">
        <v>31</v>
      </c>
      <c r="I350" t="s">
        <v>19</v>
      </c>
      <c r="J350">
        <v>3.93</v>
      </c>
      <c r="K350">
        <v>120</v>
      </c>
      <c r="L350" t="s">
        <v>34</v>
      </c>
      <c r="M350" t="str">
        <f t="shared" si="10"/>
        <v>Delayed</v>
      </c>
      <c r="N350" t="str">
        <f t="shared" si="11"/>
        <v>Hyderabad → Chennai</v>
      </c>
    </row>
    <row r="351" spans="1:14">
      <c r="A351" s="1">
        <v>45308</v>
      </c>
      <c r="B351" t="s">
        <v>38</v>
      </c>
      <c r="C351" t="s">
        <v>367</v>
      </c>
      <c r="D351" t="s">
        <v>15</v>
      </c>
      <c r="E351" t="s">
        <v>22</v>
      </c>
      <c r="F351" t="s">
        <v>17</v>
      </c>
      <c r="G351" t="s">
        <v>37</v>
      </c>
      <c r="H351" t="s">
        <v>31</v>
      </c>
      <c r="I351" t="s">
        <v>33</v>
      </c>
      <c r="J351">
        <v>9.25</v>
      </c>
      <c r="K351">
        <v>107</v>
      </c>
      <c r="L351" t="s">
        <v>52</v>
      </c>
      <c r="M351" t="str">
        <f t="shared" si="10"/>
        <v>Delayed</v>
      </c>
      <c r="N351" t="str">
        <f t="shared" si="11"/>
        <v>Delhi → Mumbai</v>
      </c>
    </row>
    <row r="352" spans="1:14">
      <c r="A352" s="1">
        <v>45346</v>
      </c>
      <c r="B352" t="s">
        <v>13</v>
      </c>
      <c r="C352" t="s">
        <v>368</v>
      </c>
      <c r="D352" t="s">
        <v>15</v>
      </c>
      <c r="E352" t="s">
        <v>23</v>
      </c>
      <c r="F352" t="s">
        <v>17</v>
      </c>
      <c r="G352" t="s">
        <v>37</v>
      </c>
      <c r="H352" t="s">
        <v>28</v>
      </c>
      <c r="I352" t="s">
        <v>33</v>
      </c>
      <c r="J352">
        <v>2.48</v>
      </c>
      <c r="K352">
        <v>84</v>
      </c>
      <c r="L352" t="s">
        <v>34</v>
      </c>
      <c r="M352" t="str">
        <f t="shared" si="10"/>
        <v>Delayed</v>
      </c>
      <c r="N352" t="str">
        <f t="shared" si="11"/>
        <v>Delhi → Bangalore</v>
      </c>
    </row>
    <row r="353" spans="1:14">
      <c r="A353" s="1">
        <v>45313</v>
      </c>
      <c r="B353" t="s">
        <v>45</v>
      </c>
      <c r="C353" t="s">
        <v>369</v>
      </c>
      <c r="D353" t="s">
        <v>15</v>
      </c>
      <c r="E353" t="s">
        <v>27</v>
      </c>
      <c r="F353" t="s">
        <v>32</v>
      </c>
      <c r="G353" t="s">
        <v>37</v>
      </c>
      <c r="H353" t="s">
        <v>32</v>
      </c>
      <c r="I353" t="s">
        <v>33</v>
      </c>
      <c r="J353">
        <v>8.31</v>
      </c>
      <c r="K353">
        <v>93</v>
      </c>
      <c r="L353" t="s">
        <v>52</v>
      </c>
      <c r="M353" t="str">
        <f t="shared" si="10"/>
        <v>Delayed</v>
      </c>
      <c r="N353" t="str">
        <f t="shared" si="11"/>
        <v>Delhi → Hyderabad</v>
      </c>
    </row>
    <row r="354" spans="1:14">
      <c r="A354" s="1">
        <v>45302</v>
      </c>
      <c r="B354" t="s">
        <v>13</v>
      </c>
      <c r="C354" t="s">
        <v>370</v>
      </c>
      <c r="D354" t="s">
        <v>22</v>
      </c>
      <c r="E354" t="s">
        <v>15</v>
      </c>
      <c r="F354" t="s">
        <v>17</v>
      </c>
      <c r="G354" t="s">
        <v>37</v>
      </c>
      <c r="H354" t="s">
        <v>31</v>
      </c>
      <c r="I354" t="s">
        <v>33</v>
      </c>
      <c r="J354">
        <v>7.92</v>
      </c>
      <c r="K354">
        <v>107</v>
      </c>
      <c r="L354" t="s">
        <v>25</v>
      </c>
      <c r="M354" t="str">
        <f t="shared" si="10"/>
        <v>Delayed</v>
      </c>
      <c r="N354" t="str">
        <f t="shared" si="11"/>
        <v>Mumbai → Delhi</v>
      </c>
    </row>
    <row r="355" spans="1:14">
      <c r="A355" s="1">
        <v>45314</v>
      </c>
      <c r="B355" t="s">
        <v>35</v>
      </c>
      <c r="C355" t="s">
        <v>371</v>
      </c>
      <c r="D355" t="s">
        <v>15</v>
      </c>
      <c r="E355" t="s">
        <v>23</v>
      </c>
      <c r="F355" t="s">
        <v>32</v>
      </c>
      <c r="G355" t="s">
        <v>18</v>
      </c>
      <c r="H355" t="s">
        <v>32</v>
      </c>
      <c r="I355" t="s">
        <v>33</v>
      </c>
      <c r="J355">
        <v>2.17</v>
      </c>
      <c r="K355">
        <v>0</v>
      </c>
      <c r="L355" t="s">
        <v>20</v>
      </c>
      <c r="M355" t="str">
        <f t="shared" si="10"/>
        <v>On Time</v>
      </c>
      <c r="N355" t="str">
        <f t="shared" si="11"/>
        <v>Delhi → Bangalore</v>
      </c>
    </row>
    <row r="356" spans="1:14">
      <c r="A356" s="1">
        <v>45312</v>
      </c>
      <c r="B356" t="s">
        <v>13</v>
      </c>
      <c r="C356" t="s">
        <v>372</v>
      </c>
      <c r="D356" t="s">
        <v>40</v>
      </c>
      <c r="E356" t="s">
        <v>27</v>
      </c>
      <c r="F356" t="s">
        <v>24</v>
      </c>
      <c r="G356" t="s">
        <v>18</v>
      </c>
      <c r="H356" t="s">
        <v>24</v>
      </c>
      <c r="I356" t="s">
        <v>33</v>
      </c>
      <c r="J356">
        <v>6.04</v>
      </c>
      <c r="K356">
        <v>0</v>
      </c>
      <c r="L356" t="s">
        <v>20</v>
      </c>
      <c r="M356" t="str">
        <f t="shared" si="10"/>
        <v>On Time</v>
      </c>
      <c r="N356" t="str">
        <f t="shared" si="11"/>
        <v>Kolkata → Hyderabad</v>
      </c>
    </row>
    <row r="357" spans="1:14">
      <c r="A357" s="1">
        <v>45307</v>
      </c>
      <c r="B357" t="s">
        <v>38</v>
      </c>
      <c r="C357" t="s">
        <v>373</v>
      </c>
      <c r="D357" t="s">
        <v>23</v>
      </c>
      <c r="E357" t="s">
        <v>27</v>
      </c>
      <c r="F357" t="s">
        <v>17</v>
      </c>
      <c r="G357" t="s">
        <v>18</v>
      </c>
      <c r="H357" t="s">
        <v>24</v>
      </c>
      <c r="I357" t="s">
        <v>19</v>
      </c>
      <c r="J357">
        <v>6.81</v>
      </c>
      <c r="K357">
        <v>0</v>
      </c>
      <c r="L357" t="s">
        <v>20</v>
      </c>
      <c r="M357" t="str">
        <f t="shared" si="10"/>
        <v>On Time</v>
      </c>
      <c r="N357" t="str">
        <f t="shared" si="11"/>
        <v>Bangalore → Hyderabad</v>
      </c>
    </row>
    <row r="358" spans="1:14">
      <c r="A358" s="1">
        <v>45346</v>
      </c>
      <c r="B358" t="s">
        <v>38</v>
      </c>
      <c r="C358" t="s">
        <v>374</v>
      </c>
      <c r="D358" t="s">
        <v>22</v>
      </c>
      <c r="E358" t="s">
        <v>15</v>
      </c>
      <c r="F358" t="s">
        <v>32</v>
      </c>
      <c r="G358" t="s">
        <v>18</v>
      </c>
      <c r="H358" t="s">
        <v>28</v>
      </c>
      <c r="I358" t="s">
        <v>33</v>
      </c>
      <c r="J358">
        <v>6.82</v>
      </c>
      <c r="K358">
        <v>0</v>
      </c>
      <c r="L358" t="s">
        <v>20</v>
      </c>
      <c r="M358" t="str">
        <f t="shared" si="10"/>
        <v>On Time</v>
      </c>
      <c r="N358" t="str">
        <f t="shared" si="11"/>
        <v>Mumbai → Delhi</v>
      </c>
    </row>
    <row r="359" spans="1:14">
      <c r="A359" s="1">
        <v>45333</v>
      </c>
      <c r="B359" t="s">
        <v>38</v>
      </c>
      <c r="C359" t="s">
        <v>375</v>
      </c>
      <c r="D359" t="s">
        <v>16</v>
      </c>
      <c r="E359" t="s">
        <v>22</v>
      </c>
      <c r="F359" t="s">
        <v>31</v>
      </c>
      <c r="G359" t="s">
        <v>37</v>
      </c>
      <c r="H359" t="s">
        <v>32</v>
      </c>
      <c r="I359" t="s">
        <v>33</v>
      </c>
      <c r="J359">
        <v>4.82</v>
      </c>
      <c r="K359">
        <v>16</v>
      </c>
      <c r="L359" t="s">
        <v>52</v>
      </c>
      <c r="M359" t="str">
        <f t="shared" si="10"/>
        <v>Delayed</v>
      </c>
      <c r="N359" t="str">
        <f t="shared" si="11"/>
        <v>Chennai → Mumbai</v>
      </c>
    </row>
    <row r="360" spans="1:14">
      <c r="A360" s="1">
        <v>45339</v>
      </c>
      <c r="B360" t="s">
        <v>13</v>
      </c>
      <c r="C360" t="s">
        <v>376</v>
      </c>
      <c r="D360" t="s">
        <v>15</v>
      </c>
      <c r="E360" t="s">
        <v>27</v>
      </c>
      <c r="F360" t="s">
        <v>32</v>
      </c>
      <c r="G360" t="s">
        <v>18</v>
      </c>
      <c r="H360" t="s">
        <v>31</v>
      </c>
      <c r="I360" t="s">
        <v>19</v>
      </c>
      <c r="J360">
        <v>7.4</v>
      </c>
      <c r="K360">
        <v>106</v>
      </c>
      <c r="L360" t="s">
        <v>34</v>
      </c>
      <c r="M360" t="str">
        <f t="shared" si="10"/>
        <v>Delayed</v>
      </c>
      <c r="N360" t="str">
        <f t="shared" si="11"/>
        <v>Delhi → Hyderabad</v>
      </c>
    </row>
    <row r="361" spans="1:14">
      <c r="A361" s="1">
        <v>45334</v>
      </c>
      <c r="B361" t="s">
        <v>38</v>
      </c>
      <c r="C361" t="s">
        <v>377</v>
      </c>
      <c r="D361" t="s">
        <v>23</v>
      </c>
      <c r="E361" t="s">
        <v>16</v>
      </c>
      <c r="F361" t="s">
        <v>31</v>
      </c>
      <c r="G361" t="s">
        <v>37</v>
      </c>
      <c r="H361" t="s">
        <v>17</v>
      </c>
      <c r="I361" t="s">
        <v>33</v>
      </c>
      <c r="J361">
        <v>8.4</v>
      </c>
      <c r="K361">
        <v>76</v>
      </c>
      <c r="L361" t="s">
        <v>34</v>
      </c>
      <c r="M361" t="str">
        <f t="shared" si="10"/>
        <v>Delayed</v>
      </c>
      <c r="N361" t="str">
        <f t="shared" si="11"/>
        <v>Bangalore → Chennai</v>
      </c>
    </row>
    <row r="362" spans="1:14">
      <c r="A362" s="1">
        <v>45320</v>
      </c>
      <c r="B362" t="s">
        <v>13</v>
      </c>
      <c r="C362" t="s">
        <v>378</v>
      </c>
      <c r="D362" t="s">
        <v>15</v>
      </c>
      <c r="E362" t="s">
        <v>23</v>
      </c>
      <c r="F362" t="s">
        <v>31</v>
      </c>
      <c r="G362" t="s">
        <v>37</v>
      </c>
      <c r="H362" t="s">
        <v>28</v>
      </c>
      <c r="I362" t="s">
        <v>33</v>
      </c>
      <c r="J362">
        <v>2.62</v>
      </c>
      <c r="K362">
        <v>75</v>
      </c>
      <c r="L362" t="s">
        <v>34</v>
      </c>
      <c r="M362" t="str">
        <f t="shared" si="10"/>
        <v>Delayed</v>
      </c>
      <c r="N362" t="str">
        <f t="shared" si="11"/>
        <v>Delhi → Bangalore</v>
      </c>
    </row>
    <row r="363" spans="1:14">
      <c r="A363" s="1">
        <v>45323</v>
      </c>
      <c r="B363" t="s">
        <v>45</v>
      </c>
      <c r="C363" t="s">
        <v>379</v>
      </c>
      <c r="D363" t="s">
        <v>40</v>
      </c>
      <c r="E363" t="s">
        <v>16</v>
      </c>
      <c r="F363" t="s">
        <v>31</v>
      </c>
      <c r="G363" t="s">
        <v>18</v>
      </c>
      <c r="H363" t="s">
        <v>28</v>
      </c>
      <c r="I363" t="s">
        <v>19</v>
      </c>
      <c r="J363">
        <v>6.3</v>
      </c>
      <c r="K363">
        <v>20</v>
      </c>
      <c r="L363" t="s">
        <v>25</v>
      </c>
      <c r="M363" t="str">
        <f t="shared" si="10"/>
        <v>Delayed</v>
      </c>
      <c r="N363" t="str">
        <f t="shared" si="11"/>
        <v>Kolkata → Chennai</v>
      </c>
    </row>
    <row r="364" spans="1:14">
      <c r="A364" s="1">
        <v>45304</v>
      </c>
      <c r="B364" t="s">
        <v>29</v>
      </c>
      <c r="C364" t="s">
        <v>380</v>
      </c>
      <c r="D364" t="s">
        <v>15</v>
      </c>
      <c r="E364" t="s">
        <v>27</v>
      </c>
      <c r="F364" t="s">
        <v>31</v>
      </c>
      <c r="G364" t="s">
        <v>18</v>
      </c>
      <c r="H364" t="s">
        <v>24</v>
      </c>
      <c r="I364" t="s">
        <v>33</v>
      </c>
      <c r="J364">
        <v>11.62</v>
      </c>
      <c r="K364">
        <v>0</v>
      </c>
      <c r="L364" t="s">
        <v>20</v>
      </c>
      <c r="M364" t="str">
        <f t="shared" si="10"/>
        <v>On Time</v>
      </c>
      <c r="N364" t="str">
        <f t="shared" si="11"/>
        <v>Delhi → Hyderabad</v>
      </c>
    </row>
    <row r="365" spans="1:14">
      <c r="A365" s="1">
        <v>45325</v>
      </c>
      <c r="B365" t="s">
        <v>13</v>
      </c>
      <c r="C365" t="s">
        <v>381</v>
      </c>
      <c r="D365" t="s">
        <v>27</v>
      </c>
      <c r="E365" t="s">
        <v>16</v>
      </c>
      <c r="F365" t="s">
        <v>24</v>
      </c>
      <c r="G365" t="s">
        <v>18</v>
      </c>
      <c r="H365" t="s">
        <v>32</v>
      </c>
      <c r="I365" t="s">
        <v>19</v>
      </c>
      <c r="J365">
        <v>2.59</v>
      </c>
      <c r="K365">
        <v>0</v>
      </c>
      <c r="L365" t="s">
        <v>20</v>
      </c>
      <c r="M365" t="str">
        <f t="shared" si="10"/>
        <v>On Time</v>
      </c>
      <c r="N365" t="str">
        <f t="shared" si="11"/>
        <v>Hyderabad → Chennai</v>
      </c>
    </row>
    <row r="366" spans="1:14">
      <c r="A366" s="1">
        <v>45330</v>
      </c>
      <c r="B366" t="s">
        <v>35</v>
      </c>
      <c r="C366" t="s">
        <v>382</v>
      </c>
      <c r="D366" t="s">
        <v>23</v>
      </c>
      <c r="E366" t="s">
        <v>40</v>
      </c>
      <c r="F366" t="s">
        <v>32</v>
      </c>
      <c r="G366" t="s">
        <v>18</v>
      </c>
      <c r="H366" t="s">
        <v>32</v>
      </c>
      <c r="I366" t="s">
        <v>33</v>
      </c>
      <c r="J366">
        <v>6.25</v>
      </c>
      <c r="K366">
        <v>55</v>
      </c>
      <c r="L366" t="s">
        <v>52</v>
      </c>
      <c r="M366" t="str">
        <f t="shared" si="10"/>
        <v>Delayed</v>
      </c>
      <c r="N366" t="str">
        <f t="shared" si="11"/>
        <v>Bangalore → Kolkata</v>
      </c>
    </row>
    <row r="367" spans="1:14">
      <c r="A367" s="1">
        <v>45300</v>
      </c>
      <c r="B367" t="s">
        <v>38</v>
      </c>
      <c r="C367" t="s">
        <v>383</v>
      </c>
      <c r="D367" t="s">
        <v>27</v>
      </c>
      <c r="E367" t="s">
        <v>40</v>
      </c>
      <c r="F367" t="s">
        <v>28</v>
      </c>
      <c r="G367" t="s">
        <v>37</v>
      </c>
      <c r="H367" t="s">
        <v>24</v>
      </c>
      <c r="I367" t="s">
        <v>19</v>
      </c>
      <c r="J367">
        <v>8.0500000000000007</v>
      </c>
      <c r="K367">
        <v>0</v>
      </c>
      <c r="L367" t="s">
        <v>20</v>
      </c>
      <c r="M367" t="str">
        <f t="shared" si="10"/>
        <v>On Time</v>
      </c>
      <c r="N367" t="str">
        <f t="shared" si="11"/>
        <v>Hyderabad → Kolkata</v>
      </c>
    </row>
    <row r="368" spans="1:14">
      <c r="A368" s="1">
        <v>45335</v>
      </c>
      <c r="B368" t="s">
        <v>29</v>
      </c>
      <c r="C368" t="s">
        <v>384</v>
      </c>
      <c r="D368" t="s">
        <v>40</v>
      </c>
      <c r="E368" t="s">
        <v>22</v>
      </c>
      <c r="F368" t="s">
        <v>17</v>
      </c>
      <c r="G368" t="s">
        <v>37</v>
      </c>
      <c r="H368" t="s">
        <v>24</v>
      </c>
      <c r="I368" t="s">
        <v>19</v>
      </c>
      <c r="J368">
        <v>6.54</v>
      </c>
      <c r="K368">
        <v>102</v>
      </c>
      <c r="L368" t="s">
        <v>34</v>
      </c>
      <c r="M368" t="str">
        <f t="shared" si="10"/>
        <v>Delayed</v>
      </c>
      <c r="N368" t="str">
        <f t="shared" si="11"/>
        <v>Kolkata → Mumbai</v>
      </c>
    </row>
    <row r="369" spans="1:14">
      <c r="A369" s="1">
        <v>45352</v>
      </c>
      <c r="B369" t="s">
        <v>38</v>
      </c>
      <c r="C369" t="s">
        <v>385</v>
      </c>
      <c r="D369" t="s">
        <v>40</v>
      </c>
      <c r="E369" t="s">
        <v>27</v>
      </c>
      <c r="F369" t="s">
        <v>28</v>
      </c>
      <c r="G369" t="s">
        <v>18</v>
      </c>
      <c r="H369" t="s">
        <v>32</v>
      </c>
      <c r="I369" t="s">
        <v>19</v>
      </c>
      <c r="J369">
        <v>2.06</v>
      </c>
      <c r="K369">
        <v>8</v>
      </c>
      <c r="L369" t="s">
        <v>25</v>
      </c>
      <c r="M369" t="str">
        <f t="shared" si="10"/>
        <v>Delayed</v>
      </c>
      <c r="N369" t="str">
        <f t="shared" si="11"/>
        <v>Kolkata → Hyderabad</v>
      </c>
    </row>
    <row r="370" spans="1:14">
      <c r="A370" s="1">
        <v>45304</v>
      </c>
      <c r="B370" t="s">
        <v>29</v>
      </c>
      <c r="C370" t="s">
        <v>386</v>
      </c>
      <c r="D370" t="s">
        <v>22</v>
      </c>
      <c r="E370" t="s">
        <v>16</v>
      </c>
      <c r="F370" t="s">
        <v>28</v>
      </c>
      <c r="G370" t="s">
        <v>18</v>
      </c>
      <c r="H370" t="s">
        <v>17</v>
      </c>
      <c r="I370" t="s">
        <v>33</v>
      </c>
      <c r="J370">
        <v>5.27</v>
      </c>
      <c r="K370">
        <v>0</v>
      </c>
      <c r="L370" t="s">
        <v>20</v>
      </c>
      <c r="M370" t="str">
        <f t="shared" si="10"/>
        <v>On Time</v>
      </c>
      <c r="N370" t="str">
        <f t="shared" si="11"/>
        <v>Mumbai → Chennai</v>
      </c>
    </row>
    <row r="371" spans="1:14">
      <c r="A371" s="1">
        <v>45298</v>
      </c>
      <c r="B371" t="s">
        <v>35</v>
      </c>
      <c r="C371" t="s">
        <v>387</v>
      </c>
      <c r="D371" t="s">
        <v>40</v>
      </c>
      <c r="E371" t="s">
        <v>27</v>
      </c>
      <c r="F371" t="s">
        <v>17</v>
      </c>
      <c r="G371" t="s">
        <v>37</v>
      </c>
      <c r="H371" t="s">
        <v>24</v>
      </c>
      <c r="I371" t="s">
        <v>19</v>
      </c>
      <c r="J371">
        <v>8.48</v>
      </c>
      <c r="K371">
        <v>70</v>
      </c>
      <c r="L371" t="s">
        <v>34</v>
      </c>
      <c r="M371" t="str">
        <f t="shared" si="10"/>
        <v>Delayed</v>
      </c>
      <c r="N371" t="str">
        <f t="shared" si="11"/>
        <v>Kolkata → Hyderabad</v>
      </c>
    </row>
    <row r="372" spans="1:14">
      <c r="A372" s="1">
        <v>45316</v>
      </c>
      <c r="B372" t="s">
        <v>38</v>
      </c>
      <c r="C372" t="s">
        <v>388</v>
      </c>
      <c r="D372" t="s">
        <v>40</v>
      </c>
      <c r="E372" t="s">
        <v>23</v>
      </c>
      <c r="F372" t="s">
        <v>24</v>
      </c>
      <c r="G372" t="s">
        <v>18</v>
      </c>
      <c r="H372" t="s">
        <v>31</v>
      </c>
      <c r="I372" t="s">
        <v>33</v>
      </c>
      <c r="J372">
        <v>11.07</v>
      </c>
      <c r="K372">
        <v>30</v>
      </c>
      <c r="L372" t="s">
        <v>25</v>
      </c>
      <c r="M372" t="str">
        <f t="shared" si="10"/>
        <v>Delayed</v>
      </c>
      <c r="N372" t="str">
        <f t="shared" si="11"/>
        <v>Kolkata → Bangalore</v>
      </c>
    </row>
    <row r="373" spans="1:14">
      <c r="A373" s="1">
        <v>45337</v>
      </c>
      <c r="B373" t="s">
        <v>29</v>
      </c>
      <c r="C373" t="s">
        <v>389</v>
      </c>
      <c r="D373" t="s">
        <v>27</v>
      </c>
      <c r="E373" t="s">
        <v>40</v>
      </c>
      <c r="F373" t="s">
        <v>24</v>
      </c>
      <c r="G373" t="s">
        <v>18</v>
      </c>
      <c r="H373" t="s">
        <v>17</v>
      </c>
      <c r="I373" t="s">
        <v>33</v>
      </c>
      <c r="J373">
        <v>11.83</v>
      </c>
      <c r="K373">
        <v>0</v>
      </c>
      <c r="L373" t="s">
        <v>20</v>
      </c>
      <c r="M373" t="str">
        <f t="shared" si="10"/>
        <v>On Time</v>
      </c>
      <c r="N373" t="str">
        <f t="shared" si="11"/>
        <v>Hyderabad → Kolkata</v>
      </c>
    </row>
    <row r="374" spans="1:14">
      <c r="A374" s="1">
        <v>45303</v>
      </c>
      <c r="B374" t="s">
        <v>45</v>
      </c>
      <c r="C374" t="s">
        <v>390</v>
      </c>
      <c r="D374" t="s">
        <v>40</v>
      </c>
      <c r="E374" t="s">
        <v>27</v>
      </c>
      <c r="F374" t="s">
        <v>31</v>
      </c>
      <c r="G374" t="s">
        <v>18</v>
      </c>
      <c r="H374" t="s">
        <v>32</v>
      </c>
      <c r="I374" t="s">
        <v>33</v>
      </c>
      <c r="J374">
        <v>3.19</v>
      </c>
      <c r="K374">
        <v>40</v>
      </c>
      <c r="L374" t="s">
        <v>25</v>
      </c>
      <c r="M374" t="str">
        <f t="shared" si="10"/>
        <v>Delayed</v>
      </c>
      <c r="N374" t="str">
        <f t="shared" si="11"/>
        <v>Kolkata → Hyderabad</v>
      </c>
    </row>
    <row r="375" spans="1:14">
      <c r="A375" s="1">
        <v>45308</v>
      </c>
      <c r="B375" t="s">
        <v>13</v>
      </c>
      <c r="C375" t="s">
        <v>391</v>
      </c>
      <c r="D375" t="s">
        <v>23</v>
      </c>
      <c r="E375" t="s">
        <v>27</v>
      </c>
      <c r="F375" t="s">
        <v>17</v>
      </c>
      <c r="G375" t="s">
        <v>18</v>
      </c>
      <c r="H375" t="s">
        <v>31</v>
      </c>
      <c r="I375" t="s">
        <v>33</v>
      </c>
      <c r="J375">
        <v>9.6199999999999992</v>
      </c>
      <c r="K375">
        <v>0</v>
      </c>
      <c r="L375" t="s">
        <v>20</v>
      </c>
      <c r="M375" t="str">
        <f t="shared" si="10"/>
        <v>On Time</v>
      </c>
      <c r="N375" t="str">
        <f t="shared" si="11"/>
        <v>Bangalore → Hyderabad</v>
      </c>
    </row>
    <row r="376" spans="1:14">
      <c r="A376" s="1">
        <v>45331</v>
      </c>
      <c r="B376" t="s">
        <v>29</v>
      </c>
      <c r="C376" t="s">
        <v>392</v>
      </c>
      <c r="D376" t="s">
        <v>16</v>
      </c>
      <c r="E376" t="s">
        <v>40</v>
      </c>
      <c r="F376" t="s">
        <v>24</v>
      </c>
      <c r="G376" t="s">
        <v>18</v>
      </c>
      <c r="H376" t="s">
        <v>28</v>
      </c>
      <c r="I376" t="s">
        <v>33</v>
      </c>
      <c r="J376">
        <v>11.55</v>
      </c>
      <c r="K376">
        <v>0</v>
      </c>
      <c r="L376" t="s">
        <v>20</v>
      </c>
      <c r="M376" t="str">
        <f t="shared" si="10"/>
        <v>On Time</v>
      </c>
      <c r="N376" t="str">
        <f t="shared" si="11"/>
        <v>Chennai → Kolkata</v>
      </c>
    </row>
    <row r="377" spans="1:14">
      <c r="A377" s="1">
        <v>45296</v>
      </c>
      <c r="B377" t="s">
        <v>35</v>
      </c>
      <c r="C377" t="s">
        <v>393</v>
      </c>
      <c r="D377" t="s">
        <v>22</v>
      </c>
      <c r="E377" t="s">
        <v>27</v>
      </c>
      <c r="F377" t="s">
        <v>24</v>
      </c>
      <c r="G377" t="s">
        <v>37</v>
      </c>
      <c r="H377" t="s">
        <v>24</v>
      </c>
      <c r="I377" t="s">
        <v>19</v>
      </c>
      <c r="J377">
        <v>10.78</v>
      </c>
      <c r="K377">
        <v>0</v>
      </c>
      <c r="L377" t="s">
        <v>20</v>
      </c>
      <c r="M377" t="str">
        <f t="shared" si="10"/>
        <v>On Time</v>
      </c>
      <c r="N377" t="str">
        <f t="shared" si="11"/>
        <v>Mumbai → Hyderabad</v>
      </c>
    </row>
    <row r="378" spans="1:14">
      <c r="A378" s="1">
        <v>45313</v>
      </c>
      <c r="B378" t="s">
        <v>29</v>
      </c>
      <c r="C378" t="s">
        <v>394</v>
      </c>
      <c r="D378" t="s">
        <v>23</v>
      </c>
      <c r="E378" t="s">
        <v>16</v>
      </c>
      <c r="F378" t="s">
        <v>17</v>
      </c>
      <c r="G378" t="s">
        <v>37</v>
      </c>
      <c r="H378" t="s">
        <v>24</v>
      </c>
      <c r="I378" t="s">
        <v>19</v>
      </c>
      <c r="J378">
        <v>4.0199999999999996</v>
      </c>
      <c r="K378">
        <v>19</v>
      </c>
      <c r="L378" t="s">
        <v>52</v>
      </c>
      <c r="M378" t="str">
        <f t="shared" si="10"/>
        <v>Delayed</v>
      </c>
      <c r="N378" t="str">
        <f t="shared" si="11"/>
        <v>Bangalore → Chennai</v>
      </c>
    </row>
    <row r="379" spans="1:14">
      <c r="A379" s="1">
        <v>45331</v>
      </c>
      <c r="B379" t="s">
        <v>35</v>
      </c>
      <c r="C379" t="s">
        <v>395</v>
      </c>
      <c r="D379" t="s">
        <v>22</v>
      </c>
      <c r="E379" t="s">
        <v>15</v>
      </c>
      <c r="F379" t="s">
        <v>28</v>
      </c>
      <c r="G379" t="s">
        <v>18</v>
      </c>
      <c r="H379" t="s">
        <v>32</v>
      </c>
      <c r="I379" t="s">
        <v>33</v>
      </c>
      <c r="J379">
        <v>11.07</v>
      </c>
      <c r="K379">
        <v>37</v>
      </c>
      <c r="L379" t="s">
        <v>25</v>
      </c>
      <c r="M379" t="str">
        <f t="shared" si="10"/>
        <v>Delayed</v>
      </c>
      <c r="N379" t="str">
        <f t="shared" si="11"/>
        <v>Mumbai → Delhi</v>
      </c>
    </row>
    <row r="380" spans="1:14">
      <c r="A380" s="1">
        <v>45341</v>
      </c>
      <c r="B380" t="s">
        <v>29</v>
      </c>
      <c r="C380" t="s">
        <v>396</v>
      </c>
      <c r="D380" t="s">
        <v>27</v>
      </c>
      <c r="E380" t="s">
        <v>40</v>
      </c>
      <c r="F380" t="s">
        <v>32</v>
      </c>
      <c r="G380" t="s">
        <v>18</v>
      </c>
      <c r="H380" t="s">
        <v>32</v>
      </c>
      <c r="I380" t="s">
        <v>33</v>
      </c>
      <c r="J380">
        <v>4.8600000000000003</v>
      </c>
      <c r="K380">
        <v>0</v>
      </c>
      <c r="L380" t="s">
        <v>20</v>
      </c>
      <c r="M380" t="str">
        <f t="shared" si="10"/>
        <v>On Time</v>
      </c>
      <c r="N380" t="str">
        <f t="shared" si="11"/>
        <v>Hyderabad → Kolkata</v>
      </c>
    </row>
    <row r="381" spans="1:14">
      <c r="A381" s="1">
        <v>45352</v>
      </c>
      <c r="B381" t="s">
        <v>13</v>
      </c>
      <c r="C381" t="s">
        <v>397</v>
      </c>
      <c r="D381" t="s">
        <v>22</v>
      </c>
      <c r="E381" t="s">
        <v>40</v>
      </c>
      <c r="F381" t="s">
        <v>24</v>
      </c>
      <c r="G381" t="s">
        <v>18</v>
      </c>
      <c r="H381" t="s">
        <v>31</v>
      </c>
      <c r="I381" t="s">
        <v>19</v>
      </c>
      <c r="J381">
        <v>10.58</v>
      </c>
      <c r="K381">
        <v>0</v>
      </c>
      <c r="L381" t="s">
        <v>20</v>
      </c>
      <c r="M381" t="str">
        <f t="shared" si="10"/>
        <v>On Time</v>
      </c>
      <c r="N381" t="str">
        <f t="shared" si="11"/>
        <v>Mumbai → Kolkata</v>
      </c>
    </row>
    <row r="382" spans="1:14">
      <c r="A382" s="1">
        <v>45345</v>
      </c>
      <c r="B382" t="s">
        <v>13</v>
      </c>
      <c r="C382" t="s">
        <v>398</v>
      </c>
      <c r="D382" t="s">
        <v>22</v>
      </c>
      <c r="E382" t="s">
        <v>40</v>
      </c>
      <c r="F382" t="s">
        <v>32</v>
      </c>
      <c r="G382" t="s">
        <v>18</v>
      </c>
      <c r="H382" t="s">
        <v>31</v>
      </c>
      <c r="I382" t="s">
        <v>19</v>
      </c>
      <c r="J382">
        <v>2.42</v>
      </c>
      <c r="K382">
        <v>63</v>
      </c>
      <c r="L382" t="s">
        <v>25</v>
      </c>
      <c r="M382" t="str">
        <f t="shared" si="10"/>
        <v>Delayed</v>
      </c>
      <c r="N382" t="str">
        <f t="shared" si="11"/>
        <v>Mumbai → Kolkata</v>
      </c>
    </row>
    <row r="383" spans="1:14">
      <c r="A383" s="1">
        <v>45303</v>
      </c>
      <c r="B383" t="s">
        <v>29</v>
      </c>
      <c r="C383" t="s">
        <v>399</v>
      </c>
      <c r="D383" t="s">
        <v>27</v>
      </c>
      <c r="E383" t="s">
        <v>15</v>
      </c>
      <c r="F383" t="s">
        <v>24</v>
      </c>
      <c r="G383" t="s">
        <v>37</v>
      </c>
      <c r="H383" t="s">
        <v>17</v>
      </c>
      <c r="I383" t="s">
        <v>33</v>
      </c>
      <c r="J383">
        <v>5.75</v>
      </c>
      <c r="K383">
        <v>54</v>
      </c>
      <c r="L383" t="s">
        <v>34</v>
      </c>
      <c r="M383" t="str">
        <f t="shared" si="10"/>
        <v>Delayed</v>
      </c>
      <c r="N383" t="str">
        <f t="shared" si="11"/>
        <v>Hyderabad → Delhi</v>
      </c>
    </row>
    <row r="384" spans="1:14">
      <c r="A384" s="1">
        <v>45293</v>
      </c>
      <c r="B384" t="s">
        <v>38</v>
      </c>
      <c r="C384" t="s">
        <v>400</v>
      </c>
      <c r="D384" t="s">
        <v>40</v>
      </c>
      <c r="E384" t="s">
        <v>15</v>
      </c>
      <c r="F384" t="s">
        <v>24</v>
      </c>
      <c r="G384" t="s">
        <v>18</v>
      </c>
      <c r="H384" t="s">
        <v>31</v>
      </c>
      <c r="I384" t="s">
        <v>19</v>
      </c>
      <c r="J384">
        <v>5.26</v>
      </c>
      <c r="K384">
        <v>0</v>
      </c>
      <c r="L384" t="s">
        <v>20</v>
      </c>
      <c r="M384" t="str">
        <f t="shared" si="10"/>
        <v>On Time</v>
      </c>
      <c r="N384" t="str">
        <f t="shared" si="11"/>
        <v>Kolkata → Delhi</v>
      </c>
    </row>
    <row r="385" spans="1:14">
      <c r="A385" s="1">
        <v>45298</v>
      </c>
      <c r="B385" t="s">
        <v>29</v>
      </c>
      <c r="C385" t="s">
        <v>401</v>
      </c>
      <c r="D385" t="s">
        <v>40</v>
      </c>
      <c r="E385" t="s">
        <v>23</v>
      </c>
      <c r="F385" t="s">
        <v>24</v>
      </c>
      <c r="G385" t="s">
        <v>37</v>
      </c>
      <c r="H385" t="s">
        <v>31</v>
      </c>
      <c r="I385" t="s">
        <v>33</v>
      </c>
      <c r="J385">
        <v>1.82</v>
      </c>
      <c r="K385">
        <v>53</v>
      </c>
      <c r="L385" t="s">
        <v>34</v>
      </c>
      <c r="M385" t="str">
        <f t="shared" si="10"/>
        <v>Delayed</v>
      </c>
      <c r="N385" t="str">
        <f t="shared" si="11"/>
        <v>Kolkata → Bangalore</v>
      </c>
    </row>
    <row r="386" spans="1:14">
      <c r="A386" s="1">
        <v>45326</v>
      </c>
      <c r="B386" t="s">
        <v>45</v>
      </c>
      <c r="C386" t="s">
        <v>402</v>
      </c>
      <c r="D386" t="s">
        <v>22</v>
      </c>
      <c r="E386" t="s">
        <v>27</v>
      </c>
      <c r="F386" t="s">
        <v>24</v>
      </c>
      <c r="G386" t="s">
        <v>18</v>
      </c>
      <c r="H386" t="s">
        <v>28</v>
      </c>
      <c r="I386" t="s">
        <v>33</v>
      </c>
      <c r="J386">
        <v>7.31</v>
      </c>
      <c r="K386">
        <v>91</v>
      </c>
      <c r="L386" t="s">
        <v>25</v>
      </c>
      <c r="M386" t="str">
        <f t="shared" ref="M386:M449" si="12">IF(K386=0,"On Time","Delayed")</f>
        <v>Delayed</v>
      </c>
      <c r="N386" t="str">
        <f t="shared" ref="N386:N449" si="13">D386 &amp; " → " &amp; E386</f>
        <v>Mumbai → Hyderabad</v>
      </c>
    </row>
    <row r="387" spans="1:14">
      <c r="A387" s="1">
        <v>45301</v>
      </c>
      <c r="B387" t="s">
        <v>13</v>
      </c>
      <c r="C387" t="s">
        <v>403</v>
      </c>
      <c r="D387" t="s">
        <v>15</v>
      </c>
      <c r="E387" t="s">
        <v>22</v>
      </c>
      <c r="F387" t="s">
        <v>24</v>
      </c>
      <c r="G387" t="s">
        <v>37</v>
      </c>
      <c r="H387" t="s">
        <v>24</v>
      </c>
      <c r="I387" t="s">
        <v>19</v>
      </c>
      <c r="J387">
        <v>9.36</v>
      </c>
      <c r="K387">
        <v>0</v>
      </c>
      <c r="L387" t="s">
        <v>20</v>
      </c>
      <c r="M387" t="str">
        <f t="shared" si="12"/>
        <v>On Time</v>
      </c>
      <c r="N387" t="str">
        <f t="shared" si="13"/>
        <v>Delhi → Mumbai</v>
      </c>
    </row>
    <row r="388" spans="1:14">
      <c r="A388" s="1">
        <v>45314</v>
      </c>
      <c r="B388" t="s">
        <v>45</v>
      </c>
      <c r="C388" t="s">
        <v>404</v>
      </c>
      <c r="D388" t="s">
        <v>16</v>
      </c>
      <c r="E388" t="s">
        <v>40</v>
      </c>
      <c r="F388" t="s">
        <v>17</v>
      </c>
      <c r="G388" t="s">
        <v>18</v>
      </c>
      <c r="H388" t="s">
        <v>17</v>
      </c>
      <c r="I388" t="s">
        <v>19</v>
      </c>
      <c r="J388">
        <v>2.7</v>
      </c>
      <c r="K388">
        <v>83</v>
      </c>
      <c r="L388" t="s">
        <v>25</v>
      </c>
      <c r="M388" t="str">
        <f t="shared" si="12"/>
        <v>Delayed</v>
      </c>
      <c r="N388" t="str">
        <f t="shared" si="13"/>
        <v>Chennai → Kolkata</v>
      </c>
    </row>
    <row r="389" spans="1:14">
      <c r="A389" s="1">
        <v>45343</v>
      </c>
      <c r="B389" t="s">
        <v>35</v>
      </c>
      <c r="C389" t="s">
        <v>405</v>
      </c>
      <c r="D389" t="s">
        <v>15</v>
      </c>
      <c r="E389" t="s">
        <v>40</v>
      </c>
      <c r="F389" t="s">
        <v>32</v>
      </c>
      <c r="G389" t="s">
        <v>18</v>
      </c>
      <c r="H389" t="s">
        <v>24</v>
      </c>
      <c r="I389" t="s">
        <v>33</v>
      </c>
      <c r="J389">
        <v>4.13</v>
      </c>
      <c r="K389">
        <v>0</v>
      </c>
      <c r="L389" t="s">
        <v>20</v>
      </c>
      <c r="M389" t="str">
        <f t="shared" si="12"/>
        <v>On Time</v>
      </c>
      <c r="N389" t="str">
        <f t="shared" si="13"/>
        <v>Delhi → Kolkata</v>
      </c>
    </row>
    <row r="390" spans="1:14">
      <c r="A390" s="1">
        <v>45338</v>
      </c>
      <c r="B390" t="s">
        <v>35</v>
      </c>
      <c r="C390" t="s">
        <v>406</v>
      </c>
      <c r="D390" t="s">
        <v>16</v>
      </c>
      <c r="E390" t="s">
        <v>23</v>
      </c>
      <c r="F390" t="s">
        <v>28</v>
      </c>
      <c r="G390" t="s">
        <v>18</v>
      </c>
      <c r="H390" t="s">
        <v>17</v>
      </c>
      <c r="I390" t="s">
        <v>19</v>
      </c>
      <c r="J390">
        <v>10.95</v>
      </c>
      <c r="K390">
        <v>0</v>
      </c>
      <c r="L390" t="s">
        <v>20</v>
      </c>
      <c r="M390" t="str">
        <f t="shared" si="12"/>
        <v>On Time</v>
      </c>
      <c r="N390" t="str">
        <f t="shared" si="13"/>
        <v>Chennai → Bangalore</v>
      </c>
    </row>
    <row r="391" spans="1:14">
      <c r="A391" s="1">
        <v>45323</v>
      </c>
      <c r="B391" t="s">
        <v>38</v>
      </c>
      <c r="C391" t="s">
        <v>407</v>
      </c>
      <c r="D391" t="s">
        <v>23</v>
      </c>
      <c r="E391" t="s">
        <v>40</v>
      </c>
      <c r="F391" t="s">
        <v>28</v>
      </c>
      <c r="G391" t="s">
        <v>18</v>
      </c>
      <c r="H391" t="s">
        <v>24</v>
      </c>
      <c r="I391" t="s">
        <v>33</v>
      </c>
      <c r="J391">
        <v>3.27</v>
      </c>
      <c r="K391">
        <v>108</v>
      </c>
      <c r="L391" t="s">
        <v>52</v>
      </c>
      <c r="M391" t="str">
        <f t="shared" si="12"/>
        <v>Delayed</v>
      </c>
      <c r="N391" t="str">
        <f t="shared" si="13"/>
        <v>Bangalore → Kolkata</v>
      </c>
    </row>
    <row r="392" spans="1:14">
      <c r="A392" s="1">
        <v>45307</v>
      </c>
      <c r="B392" t="s">
        <v>45</v>
      </c>
      <c r="C392" t="s">
        <v>408</v>
      </c>
      <c r="D392" t="s">
        <v>40</v>
      </c>
      <c r="E392" t="s">
        <v>16</v>
      </c>
      <c r="F392" t="s">
        <v>28</v>
      </c>
      <c r="G392" t="s">
        <v>18</v>
      </c>
      <c r="H392" t="s">
        <v>28</v>
      </c>
      <c r="I392" t="s">
        <v>33</v>
      </c>
      <c r="J392">
        <v>6.18</v>
      </c>
      <c r="K392">
        <v>117</v>
      </c>
      <c r="L392" t="s">
        <v>52</v>
      </c>
      <c r="M392" t="str">
        <f t="shared" si="12"/>
        <v>Delayed</v>
      </c>
      <c r="N392" t="str">
        <f t="shared" si="13"/>
        <v>Kolkata → Chennai</v>
      </c>
    </row>
    <row r="393" spans="1:14">
      <c r="A393" s="1">
        <v>45311</v>
      </c>
      <c r="B393" t="s">
        <v>38</v>
      </c>
      <c r="C393" t="s">
        <v>409</v>
      </c>
      <c r="D393" t="s">
        <v>27</v>
      </c>
      <c r="E393" t="s">
        <v>15</v>
      </c>
      <c r="F393" t="s">
        <v>17</v>
      </c>
      <c r="G393" t="s">
        <v>18</v>
      </c>
      <c r="H393" t="s">
        <v>24</v>
      </c>
      <c r="I393" t="s">
        <v>33</v>
      </c>
      <c r="J393">
        <v>10.86</v>
      </c>
      <c r="K393">
        <v>0</v>
      </c>
      <c r="L393" t="s">
        <v>20</v>
      </c>
      <c r="M393" t="str">
        <f t="shared" si="12"/>
        <v>On Time</v>
      </c>
      <c r="N393" t="str">
        <f t="shared" si="13"/>
        <v>Hyderabad → Delhi</v>
      </c>
    </row>
    <row r="394" spans="1:14">
      <c r="A394" s="1">
        <v>45308</v>
      </c>
      <c r="B394" t="s">
        <v>13</v>
      </c>
      <c r="C394" t="s">
        <v>118</v>
      </c>
      <c r="D394" t="s">
        <v>40</v>
      </c>
      <c r="E394" t="s">
        <v>15</v>
      </c>
      <c r="F394" t="s">
        <v>31</v>
      </c>
      <c r="G394" t="s">
        <v>18</v>
      </c>
      <c r="H394" t="s">
        <v>24</v>
      </c>
      <c r="I394" t="s">
        <v>33</v>
      </c>
      <c r="J394">
        <v>11.02</v>
      </c>
      <c r="K394">
        <v>0</v>
      </c>
      <c r="L394" t="s">
        <v>20</v>
      </c>
      <c r="M394" t="str">
        <f t="shared" si="12"/>
        <v>On Time</v>
      </c>
      <c r="N394" t="str">
        <f t="shared" si="13"/>
        <v>Kolkata → Delhi</v>
      </c>
    </row>
    <row r="395" spans="1:14">
      <c r="A395" s="1">
        <v>45308</v>
      </c>
      <c r="B395" t="s">
        <v>35</v>
      </c>
      <c r="C395" t="s">
        <v>410</v>
      </c>
      <c r="D395" t="s">
        <v>27</v>
      </c>
      <c r="E395" t="s">
        <v>16</v>
      </c>
      <c r="F395" t="s">
        <v>17</v>
      </c>
      <c r="G395" t="s">
        <v>37</v>
      </c>
      <c r="H395" t="s">
        <v>28</v>
      </c>
      <c r="I395" t="s">
        <v>19</v>
      </c>
      <c r="J395">
        <v>6.38</v>
      </c>
      <c r="K395">
        <v>119</v>
      </c>
      <c r="L395" t="s">
        <v>25</v>
      </c>
      <c r="M395" t="str">
        <f t="shared" si="12"/>
        <v>Delayed</v>
      </c>
      <c r="N395" t="str">
        <f t="shared" si="13"/>
        <v>Hyderabad → Chennai</v>
      </c>
    </row>
    <row r="396" spans="1:14">
      <c r="A396" s="1">
        <v>45297</v>
      </c>
      <c r="B396" t="s">
        <v>38</v>
      </c>
      <c r="C396" t="s">
        <v>411</v>
      </c>
      <c r="D396" t="s">
        <v>23</v>
      </c>
      <c r="E396" t="s">
        <v>40</v>
      </c>
      <c r="F396" t="s">
        <v>31</v>
      </c>
      <c r="G396" t="s">
        <v>18</v>
      </c>
      <c r="H396" t="s">
        <v>17</v>
      </c>
      <c r="I396" t="s">
        <v>19</v>
      </c>
      <c r="J396">
        <v>3.38</v>
      </c>
      <c r="K396">
        <v>0</v>
      </c>
      <c r="L396" t="s">
        <v>20</v>
      </c>
      <c r="M396" t="str">
        <f t="shared" si="12"/>
        <v>On Time</v>
      </c>
      <c r="N396" t="str">
        <f t="shared" si="13"/>
        <v>Bangalore → Kolkata</v>
      </c>
    </row>
    <row r="397" spans="1:14">
      <c r="A397" s="1">
        <v>45334</v>
      </c>
      <c r="B397" t="s">
        <v>45</v>
      </c>
      <c r="C397" t="s">
        <v>169</v>
      </c>
      <c r="D397" t="s">
        <v>40</v>
      </c>
      <c r="E397" t="s">
        <v>16</v>
      </c>
      <c r="F397" t="s">
        <v>28</v>
      </c>
      <c r="G397" t="s">
        <v>18</v>
      </c>
      <c r="H397" t="s">
        <v>31</v>
      </c>
      <c r="I397" t="s">
        <v>33</v>
      </c>
      <c r="J397">
        <v>4.28</v>
      </c>
      <c r="K397">
        <v>0</v>
      </c>
      <c r="L397" t="s">
        <v>20</v>
      </c>
      <c r="M397" t="str">
        <f t="shared" si="12"/>
        <v>On Time</v>
      </c>
      <c r="N397" t="str">
        <f t="shared" si="13"/>
        <v>Kolkata → Chennai</v>
      </c>
    </row>
    <row r="398" spans="1:14">
      <c r="A398" s="1">
        <v>45294</v>
      </c>
      <c r="B398" t="s">
        <v>45</v>
      </c>
      <c r="C398" t="s">
        <v>234</v>
      </c>
      <c r="D398" t="s">
        <v>27</v>
      </c>
      <c r="E398" t="s">
        <v>23</v>
      </c>
      <c r="F398" t="s">
        <v>32</v>
      </c>
      <c r="G398" t="s">
        <v>37</v>
      </c>
      <c r="H398" t="s">
        <v>32</v>
      </c>
      <c r="I398" t="s">
        <v>19</v>
      </c>
      <c r="J398">
        <v>8.89</v>
      </c>
      <c r="K398">
        <v>10</v>
      </c>
      <c r="L398" t="s">
        <v>25</v>
      </c>
      <c r="M398" t="str">
        <f t="shared" si="12"/>
        <v>Delayed</v>
      </c>
      <c r="N398" t="str">
        <f t="shared" si="13"/>
        <v>Hyderabad → Bangalore</v>
      </c>
    </row>
    <row r="399" spans="1:14">
      <c r="A399" s="1">
        <v>45332</v>
      </c>
      <c r="B399" t="s">
        <v>29</v>
      </c>
      <c r="C399" t="s">
        <v>412</v>
      </c>
      <c r="D399" t="s">
        <v>40</v>
      </c>
      <c r="E399" t="s">
        <v>23</v>
      </c>
      <c r="F399" t="s">
        <v>24</v>
      </c>
      <c r="G399" t="s">
        <v>18</v>
      </c>
      <c r="H399" t="s">
        <v>24</v>
      </c>
      <c r="I399" t="s">
        <v>33</v>
      </c>
      <c r="J399">
        <v>7.67</v>
      </c>
      <c r="K399">
        <v>88</v>
      </c>
      <c r="L399" t="s">
        <v>52</v>
      </c>
      <c r="M399" t="str">
        <f t="shared" si="12"/>
        <v>Delayed</v>
      </c>
      <c r="N399" t="str">
        <f t="shared" si="13"/>
        <v>Kolkata → Bangalore</v>
      </c>
    </row>
    <row r="400" spans="1:14">
      <c r="A400" s="1">
        <v>45296</v>
      </c>
      <c r="B400" t="s">
        <v>35</v>
      </c>
      <c r="C400" t="s">
        <v>413</v>
      </c>
      <c r="D400" t="s">
        <v>23</v>
      </c>
      <c r="E400" t="s">
        <v>27</v>
      </c>
      <c r="F400" t="s">
        <v>17</v>
      </c>
      <c r="G400" t="s">
        <v>37</v>
      </c>
      <c r="H400" t="s">
        <v>24</v>
      </c>
      <c r="I400" t="s">
        <v>33</v>
      </c>
      <c r="J400">
        <v>9.82</v>
      </c>
      <c r="K400">
        <v>109</v>
      </c>
      <c r="L400" t="s">
        <v>52</v>
      </c>
      <c r="M400" t="str">
        <f t="shared" si="12"/>
        <v>Delayed</v>
      </c>
      <c r="N400" t="str">
        <f t="shared" si="13"/>
        <v>Bangalore → Hyderabad</v>
      </c>
    </row>
    <row r="401" spans="1:14">
      <c r="A401" s="1">
        <v>45292</v>
      </c>
      <c r="B401" t="s">
        <v>35</v>
      </c>
      <c r="C401" t="s">
        <v>414</v>
      </c>
      <c r="D401" t="s">
        <v>22</v>
      </c>
      <c r="E401" t="s">
        <v>27</v>
      </c>
      <c r="F401" t="s">
        <v>17</v>
      </c>
      <c r="G401" t="s">
        <v>18</v>
      </c>
      <c r="H401" t="s">
        <v>17</v>
      </c>
      <c r="I401" t="s">
        <v>33</v>
      </c>
      <c r="J401">
        <v>3.46</v>
      </c>
      <c r="K401">
        <v>0</v>
      </c>
      <c r="L401" t="s">
        <v>20</v>
      </c>
      <c r="M401" t="str">
        <f t="shared" si="12"/>
        <v>On Time</v>
      </c>
      <c r="N401" t="str">
        <f t="shared" si="13"/>
        <v>Mumbai → Hyderabad</v>
      </c>
    </row>
    <row r="402" spans="1:14">
      <c r="A402" s="1">
        <v>45330</v>
      </c>
      <c r="B402" t="s">
        <v>13</v>
      </c>
      <c r="C402" t="s">
        <v>415</v>
      </c>
      <c r="D402" t="s">
        <v>40</v>
      </c>
      <c r="E402" t="s">
        <v>22</v>
      </c>
      <c r="F402" t="s">
        <v>32</v>
      </c>
      <c r="G402" t="s">
        <v>18</v>
      </c>
      <c r="H402" t="s">
        <v>28</v>
      </c>
      <c r="I402" t="s">
        <v>33</v>
      </c>
      <c r="J402">
        <v>3.71</v>
      </c>
      <c r="K402">
        <v>91</v>
      </c>
      <c r="L402" t="s">
        <v>52</v>
      </c>
      <c r="M402" t="str">
        <f t="shared" si="12"/>
        <v>Delayed</v>
      </c>
      <c r="N402" t="str">
        <f t="shared" si="13"/>
        <v>Kolkata → Mumbai</v>
      </c>
    </row>
    <row r="403" spans="1:14">
      <c r="A403" s="1">
        <v>45333</v>
      </c>
      <c r="B403" t="s">
        <v>38</v>
      </c>
      <c r="C403" t="s">
        <v>416</v>
      </c>
      <c r="D403" t="s">
        <v>15</v>
      </c>
      <c r="E403" t="s">
        <v>23</v>
      </c>
      <c r="F403" t="s">
        <v>31</v>
      </c>
      <c r="G403" t="s">
        <v>18</v>
      </c>
      <c r="H403" t="s">
        <v>17</v>
      </c>
      <c r="I403" t="s">
        <v>19</v>
      </c>
      <c r="J403">
        <v>10.85</v>
      </c>
      <c r="K403">
        <v>0</v>
      </c>
      <c r="L403" t="s">
        <v>20</v>
      </c>
      <c r="M403" t="str">
        <f t="shared" si="12"/>
        <v>On Time</v>
      </c>
      <c r="N403" t="str">
        <f t="shared" si="13"/>
        <v>Delhi → Bangalore</v>
      </c>
    </row>
    <row r="404" spans="1:14">
      <c r="A404" s="1">
        <v>45295</v>
      </c>
      <c r="B404" t="s">
        <v>45</v>
      </c>
      <c r="C404" t="s">
        <v>417</v>
      </c>
      <c r="D404" t="s">
        <v>23</v>
      </c>
      <c r="E404" t="s">
        <v>22</v>
      </c>
      <c r="F404" t="s">
        <v>24</v>
      </c>
      <c r="G404" t="s">
        <v>18</v>
      </c>
      <c r="H404" t="s">
        <v>32</v>
      </c>
      <c r="I404" t="s">
        <v>33</v>
      </c>
      <c r="J404">
        <v>6.22</v>
      </c>
      <c r="K404">
        <v>0</v>
      </c>
      <c r="L404" t="s">
        <v>20</v>
      </c>
      <c r="M404" t="str">
        <f t="shared" si="12"/>
        <v>On Time</v>
      </c>
      <c r="N404" t="str">
        <f t="shared" si="13"/>
        <v>Bangalore → Mumbai</v>
      </c>
    </row>
    <row r="405" spans="1:14">
      <c r="A405" s="1">
        <v>45347</v>
      </c>
      <c r="B405" t="s">
        <v>38</v>
      </c>
      <c r="C405" t="s">
        <v>418</v>
      </c>
      <c r="D405" t="s">
        <v>22</v>
      </c>
      <c r="E405" t="s">
        <v>23</v>
      </c>
      <c r="F405" t="s">
        <v>32</v>
      </c>
      <c r="G405" t="s">
        <v>18</v>
      </c>
      <c r="H405" t="s">
        <v>24</v>
      </c>
      <c r="I405" t="s">
        <v>19</v>
      </c>
      <c r="J405">
        <v>9.1</v>
      </c>
      <c r="K405">
        <v>84</v>
      </c>
      <c r="L405" t="s">
        <v>25</v>
      </c>
      <c r="M405" t="str">
        <f t="shared" si="12"/>
        <v>Delayed</v>
      </c>
      <c r="N405" t="str">
        <f t="shared" si="13"/>
        <v>Mumbai → Bangalore</v>
      </c>
    </row>
    <row r="406" spans="1:14">
      <c r="A406" s="1">
        <v>45351</v>
      </c>
      <c r="B406" t="s">
        <v>38</v>
      </c>
      <c r="C406" t="s">
        <v>419</v>
      </c>
      <c r="D406" t="s">
        <v>27</v>
      </c>
      <c r="E406" t="s">
        <v>40</v>
      </c>
      <c r="F406" t="s">
        <v>31</v>
      </c>
      <c r="G406" t="s">
        <v>37</v>
      </c>
      <c r="H406" t="s">
        <v>17</v>
      </c>
      <c r="I406" t="s">
        <v>33</v>
      </c>
      <c r="J406">
        <v>1.67</v>
      </c>
      <c r="K406">
        <v>0</v>
      </c>
      <c r="L406" t="s">
        <v>20</v>
      </c>
      <c r="M406" t="str">
        <f t="shared" si="12"/>
        <v>On Time</v>
      </c>
      <c r="N406" t="str">
        <f t="shared" si="13"/>
        <v>Hyderabad → Kolkata</v>
      </c>
    </row>
    <row r="407" spans="1:14">
      <c r="A407" s="1">
        <v>45347</v>
      </c>
      <c r="B407" t="s">
        <v>35</v>
      </c>
      <c r="C407" t="s">
        <v>420</v>
      </c>
      <c r="D407" t="s">
        <v>40</v>
      </c>
      <c r="E407" t="s">
        <v>16</v>
      </c>
      <c r="F407" t="s">
        <v>17</v>
      </c>
      <c r="G407" t="s">
        <v>18</v>
      </c>
      <c r="H407" t="s">
        <v>24</v>
      </c>
      <c r="I407" t="s">
        <v>19</v>
      </c>
      <c r="J407">
        <v>10.72</v>
      </c>
      <c r="K407">
        <v>0</v>
      </c>
      <c r="L407" t="s">
        <v>20</v>
      </c>
      <c r="M407" t="str">
        <f t="shared" si="12"/>
        <v>On Time</v>
      </c>
      <c r="N407" t="str">
        <f t="shared" si="13"/>
        <v>Kolkata → Chennai</v>
      </c>
    </row>
    <row r="408" spans="1:14">
      <c r="A408" s="1">
        <v>45324</v>
      </c>
      <c r="B408" t="s">
        <v>13</v>
      </c>
      <c r="C408" t="s">
        <v>421</v>
      </c>
      <c r="D408" t="s">
        <v>15</v>
      </c>
      <c r="E408" t="s">
        <v>27</v>
      </c>
      <c r="F408" t="s">
        <v>17</v>
      </c>
      <c r="G408" t="s">
        <v>18</v>
      </c>
      <c r="H408" t="s">
        <v>24</v>
      </c>
      <c r="I408" t="s">
        <v>33</v>
      </c>
      <c r="J408">
        <v>10.69</v>
      </c>
      <c r="K408">
        <v>71</v>
      </c>
      <c r="L408" t="s">
        <v>52</v>
      </c>
      <c r="M408" t="str">
        <f t="shared" si="12"/>
        <v>Delayed</v>
      </c>
      <c r="N408" t="str">
        <f t="shared" si="13"/>
        <v>Delhi → Hyderabad</v>
      </c>
    </row>
    <row r="409" spans="1:14">
      <c r="A409" s="1">
        <v>45325</v>
      </c>
      <c r="B409" t="s">
        <v>38</v>
      </c>
      <c r="C409" t="s">
        <v>422</v>
      </c>
      <c r="D409" t="s">
        <v>22</v>
      </c>
      <c r="E409" t="s">
        <v>27</v>
      </c>
      <c r="F409" t="s">
        <v>32</v>
      </c>
      <c r="G409" t="s">
        <v>18</v>
      </c>
      <c r="H409" t="s">
        <v>28</v>
      </c>
      <c r="I409" t="s">
        <v>33</v>
      </c>
      <c r="J409">
        <v>9.5399999999999991</v>
      </c>
      <c r="K409">
        <v>22</v>
      </c>
      <c r="L409" t="s">
        <v>52</v>
      </c>
      <c r="M409" t="str">
        <f t="shared" si="12"/>
        <v>Delayed</v>
      </c>
      <c r="N409" t="str">
        <f t="shared" si="13"/>
        <v>Mumbai → Hyderabad</v>
      </c>
    </row>
    <row r="410" spans="1:14">
      <c r="A410" s="1">
        <v>45297</v>
      </c>
      <c r="B410" t="s">
        <v>29</v>
      </c>
      <c r="C410" t="s">
        <v>423</v>
      </c>
      <c r="D410" t="s">
        <v>27</v>
      </c>
      <c r="E410" t="s">
        <v>40</v>
      </c>
      <c r="F410" t="s">
        <v>32</v>
      </c>
      <c r="G410" t="s">
        <v>18</v>
      </c>
      <c r="H410" t="s">
        <v>28</v>
      </c>
      <c r="I410" t="s">
        <v>19</v>
      </c>
      <c r="J410">
        <v>7.57</v>
      </c>
      <c r="K410">
        <v>0</v>
      </c>
      <c r="L410" t="s">
        <v>20</v>
      </c>
      <c r="M410" t="str">
        <f t="shared" si="12"/>
        <v>On Time</v>
      </c>
      <c r="N410" t="str">
        <f t="shared" si="13"/>
        <v>Hyderabad → Kolkata</v>
      </c>
    </row>
    <row r="411" spans="1:14">
      <c r="A411" s="1">
        <v>45325</v>
      </c>
      <c r="B411" t="s">
        <v>13</v>
      </c>
      <c r="C411" t="s">
        <v>424</v>
      </c>
      <c r="D411" t="s">
        <v>16</v>
      </c>
      <c r="E411" t="s">
        <v>22</v>
      </c>
      <c r="F411" t="s">
        <v>28</v>
      </c>
      <c r="G411" t="s">
        <v>37</v>
      </c>
      <c r="H411" t="s">
        <v>32</v>
      </c>
      <c r="I411" t="s">
        <v>19</v>
      </c>
      <c r="J411">
        <v>7.65</v>
      </c>
      <c r="K411">
        <v>24</v>
      </c>
      <c r="L411" t="s">
        <v>34</v>
      </c>
      <c r="M411" t="str">
        <f t="shared" si="12"/>
        <v>Delayed</v>
      </c>
      <c r="N411" t="str">
        <f t="shared" si="13"/>
        <v>Chennai → Mumbai</v>
      </c>
    </row>
    <row r="412" spans="1:14">
      <c r="A412" s="1">
        <v>45346</v>
      </c>
      <c r="B412" t="s">
        <v>35</v>
      </c>
      <c r="C412" t="s">
        <v>425</v>
      </c>
      <c r="D412" t="s">
        <v>16</v>
      </c>
      <c r="E412" t="s">
        <v>40</v>
      </c>
      <c r="F412" t="s">
        <v>28</v>
      </c>
      <c r="G412" t="s">
        <v>37</v>
      </c>
      <c r="H412" t="s">
        <v>24</v>
      </c>
      <c r="I412" t="s">
        <v>33</v>
      </c>
      <c r="J412">
        <v>5.84</v>
      </c>
      <c r="K412">
        <v>0</v>
      </c>
      <c r="L412" t="s">
        <v>20</v>
      </c>
      <c r="M412" t="str">
        <f t="shared" si="12"/>
        <v>On Time</v>
      </c>
      <c r="N412" t="str">
        <f t="shared" si="13"/>
        <v>Chennai → Kolkata</v>
      </c>
    </row>
    <row r="413" spans="1:14">
      <c r="A413" s="1">
        <v>45327</v>
      </c>
      <c r="B413" t="s">
        <v>38</v>
      </c>
      <c r="C413" t="s">
        <v>426</v>
      </c>
      <c r="D413" t="s">
        <v>22</v>
      </c>
      <c r="E413" t="s">
        <v>16</v>
      </c>
      <c r="F413" t="s">
        <v>24</v>
      </c>
      <c r="G413" t="s">
        <v>37</v>
      </c>
      <c r="H413" t="s">
        <v>24</v>
      </c>
      <c r="I413" t="s">
        <v>33</v>
      </c>
      <c r="J413">
        <v>5.68</v>
      </c>
      <c r="K413">
        <v>44</v>
      </c>
      <c r="L413" t="s">
        <v>34</v>
      </c>
      <c r="M413" t="str">
        <f t="shared" si="12"/>
        <v>Delayed</v>
      </c>
      <c r="N413" t="str">
        <f t="shared" si="13"/>
        <v>Mumbai → Chennai</v>
      </c>
    </row>
    <row r="414" spans="1:14">
      <c r="A414" s="1">
        <v>45346</v>
      </c>
      <c r="B414" t="s">
        <v>13</v>
      </c>
      <c r="C414" t="s">
        <v>427</v>
      </c>
      <c r="D414" t="s">
        <v>40</v>
      </c>
      <c r="E414" t="s">
        <v>22</v>
      </c>
      <c r="F414" t="s">
        <v>32</v>
      </c>
      <c r="G414" t="s">
        <v>18</v>
      </c>
      <c r="H414" t="s">
        <v>17</v>
      </c>
      <c r="I414" t="s">
        <v>19</v>
      </c>
      <c r="J414">
        <v>9.91</v>
      </c>
      <c r="K414">
        <v>70</v>
      </c>
      <c r="L414" t="s">
        <v>52</v>
      </c>
      <c r="M414" t="str">
        <f t="shared" si="12"/>
        <v>Delayed</v>
      </c>
      <c r="N414" t="str">
        <f t="shared" si="13"/>
        <v>Kolkata → Mumbai</v>
      </c>
    </row>
    <row r="415" spans="1:14">
      <c r="A415" s="1">
        <v>45336</v>
      </c>
      <c r="B415" t="s">
        <v>13</v>
      </c>
      <c r="C415" t="s">
        <v>172</v>
      </c>
      <c r="D415" t="s">
        <v>22</v>
      </c>
      <c r="E415" t="s">
        <v>27</v>
      </c>
      <c r="F415" t="s">
        <v>31</v>
      </c>
      <c r="G415" t="s">
        <v>18</v>
      </c>
      <c r="H415" t="s">
        <v>31</v>
      </c>
      <c r="I415" t="s">
        <v>33</v>
      </c>
      <c r="J415">
        <v>2.17</v>
      </c>
      <c r="K415">
        <v>81</v>
      </c>
      <c r="L415" t="s">
        <v>25</v>
      </c>
      <c r="M415" t="str">
        <f t="shared" si="12"/>
        <v>Delayed</v>
      </c>
      <c r="N415" t="str">
        <f t="shared" si="13"/>
        <v>Mumbai → Hyderabad</v>
      </c>
    </row>
    <row r="416" spans="1:14">
      <c r="A416" s="1">
        <v>45315</v>
      </c>
      <c r="B416" t="s">
        <v>13</v>
      </c>
      <c r="C416" t="s">
        <v>428</v>
      </c>
      <c r="D416" t="s">
        <v>27</v>
      </c>
      <c r="E416" t="s">
        <v>15</v>
      </c>
      <c r="F416" t="s">
        <v>32</v>
      </c>
      <c r="G416" t="s">
        <v>37</v>
      </c>
      <c r="H416" t="s">
        <v>32</v>
      </c>
      <c r="I416" t="s">
        <v>19</v>
      </c>
      <c r="J416">
        <v>8.2200000000000006</v>
      </c>
      <c r="K416">
        <v>0</v>
      </c>
      <c r="L416" t="s">
        <v>20</v>
      </c>
      <c r="M416" t="str">
        <f t="shared" si="12"/>
        <v>On Time</v>
      </c>
      <c r="N416" t="str">
        <f t="shared" si="13"/>
        <v>Hyderabad → Delhi</v>
      </c>
    </row>
    <row r="417" spans="1:14">
      <c r="A417" s="1">
        <v>45292</v>
      </c>
      <c r="B417" t="s">
        <v>45</v>
      </c>
      <c r="C417" t="s">
        <v>429</v>
      </c>
      <c r="D417" t="s">
        <v>40</v>
      </c>
      <c r="E417" t="s">
        <v>27</v>
      </c>
      <c r="F417" t="s">
        <v>28</v>
      </c>
      <c r="G417" t="s">
        <v>18</v>
      </c>
      <c r="H417" t="s">
        <v>17</v>
      </c>
      <c r="I417" t="s">
        <v>19</v>
      </c>
      <c r="J417">
        <v>8.58</v>
      </c>
      <c r="K417">
        <v>0</v>
      </c>
      <c r="L417" t="s">
        <v>20</v>
      </c>
      <c r="M417" t="str">
        <f t="shared" si="12"/>
        <v>On Time</v>
      </c>
      <c r="N417" t="str">
        <f t="shared" si="13"/>
        <v>Kolkata → Hyderabad</v>
      </c>
    </row>
    <row r="418" spans="1:14">
      <c r="A418" s="1">
        <v>45307</v>
      </c>
      <c r="B418" t="s">
        <v>13</v>
      </c>
      <c r="C418" t="s">
        <v>430</v>
      </c>
      <c r="D418" t="s">
        <v>22</v>
      </c>
      <c r="E418" t="s">
        <v>15</v>
      </c>
      <c r="F418" t="s">
        <v>28</v>
      </c>
      <c r="G418" t="s">
        <v>37</v>
      </c>
      <c r="H418" t="s">
        <v>32</v>
      </c>
      <c r="I418" t="s">
        <v>33</v>
      </c>
      <c r="J418">
        <v>6.94</v>
      </c>
      <c r="K418">
        <v>0</v>
      </c>
      <c r="L418" t="s">
        <v>20</v>
      </c>
      <c r="M418" t="str">
        <f t="shared" si="12"/>
        <v>On Time</v>
      </c>
      <c r="N418" t="str">
        <f t="shared" si="13"/>
        <v>Mumbai → Delhi</v>
      </c>
    </row>
    <row r="419" spans="1:14">
      <c r="A419" s="1">
        <v>45337</v>
      </c>
      <c r="B419" t="s">
        <v>13</v>
      </c>
      <c r="C419" t="s">
        <v>431</v>
      </c>
      <c r="D419" t="s">
        <v>15</v>
      </c>
      <c r="E419" t="s">
        <v>40</v>
      </c>
      <c r="F419" t="s">
        <v>28</v>
      </c>
      <c r="G419" t="s">
        <v>37</v>
      </c>
      <c r="H419" t="s">
        <v>24</v>
      </c>
      <c r="I419" t="s">
        <v>33</v>
      </c>
      <c r="J419">
        <v>7.87</v>
      </c>
      <c r="K419">
        <v>109</v>
      </c>
      <c r="L419" t="s">
        <v>25</v>
      </c>
      <c r="M419" t="str">
        <f t="shared" si="12"/>
        <v>Delayed</v>
      </c>
      <c r="N419" t="str">
        <f t="shared" si="13"/>
        <v>Delhi → Kolkata</v>
      </c>
    </row>
    <row r="420" spans="1:14">
      <c r="A420" s="1">
        <v>45321</v>
      </c>
      <c r="B420" t="s">
        <v>38</v>
      </c>
      <c r="C420" t="s">
        <v>432</v>
      </c>
      <c r="D420" t="s">
        <v>27</v>
      </c>
      <c r="E420" t="s">
        <v>15</v>
      </c>
      <c r="F420" t="s">
        <v>28</v>
      </c>
      <c r="G420" t="s">
        <v>37</v>
      </c>
      <c r="H420" t="s">
        <v>17</v>
      </c>
      <c r="I420" t="s">
        <v>19</v>
      </c>
      <c r="J420">
        <v>6.78</v>
      </c>
      <c r="K420">
        <v>0</v>
      </c>
      <c r="L420" t="s">
        <v>20</v>
      </c>
      <c r="M420" t="str">
        <f t="shared" si="12"/>
        <v>On Time</v>
      </c>
      <c r="N420" t="str">
        <f t="shared" si="13"/>
        <v>Hyderabad → Delhi</v>
      </c>
    </row>
    <row r="421" spans="1:14">
      <c r="A421" s="1">
        <v>45352</v>
      </c>
      <c r="B421" t="s">
        <v>13</v>
      </c>
      <c r="C421" t="s">
        <v>433</v>
      </c>
      <c r="D421" t="s">
        <v>27</v>
      </c>
      <c r="E421" t="s">
        <v>23</v>
      </c>
      <c r="F421" t="s">
        <v>24</v>
      </c>
      <c r="G421" t="s">
        <v>37</v>
      </c>
      <c r="H421" t="s">
        <v>24</v>
      </c>
      <c r="I421" t="s">
        <v>33</v>
      </c>
      <c r="J421">
        <v>9.4499999999999993</v>
      </c>
      <c r="K421">
        <v>53</v>
      </c>
      <c r="L421" t="s">
        <v>25</v>
      </c>
      <c r="M421" t="str">
        <f t="shared" si="12"/>
        <v>Delayed</v>
      </c>
      <c r="N421" t="str">
        <f t="shared" si="13"/>
        <v>Hyderabad → Bangalore</v>
      </c>
    </row>
    <row r="422" spans="1:14">
      <c r="A422" s="1">
        <v>45321</v>
      </c>
      <c r="B422" t="s">
        <v>38</v>
      </c>
      <c r="C422" t="s">
        <v>434</v>
      </c>
      <c r="D422" t="s">
        <v>27</v>
      </c>
      <c r="E422" t="s">
        <v>15</v>
      </c>
      <c r="F422" t="s">
        <v>32</v>
      </c>
      <c r="G422" t="s">
        <v>37</v>
      </c>
      <c r="H422" t="s">
        <v>31</v>
      </c>
      <c r="I422" t="s">
        <v>19</v>
      </c>
      <c r="J422">
        <v>8.61</v>
      </c>
      <c r="K422">
        <v>0</v>
      </c>
      <c r="L422" t="s">
        <v>20</v>
      </c>
      <c r="M422" t="str">
        <f t="shared" si="12"/>
        <v>On Time</v>
      </c>
      <c r="N422" t="str">
        <f t="shared" si="13"/>
        <v>Hyderabad → Delhi</v>
      </c>
    </row>
    <row r="423" spans="1:14">
      <c r="A423" s="1">
        <v>45343</v>
      </c>
      <c r="B423" t="s">
        <v>29</v>
      </c>
      <c r="C423" t="s">
        <v>435</v>
      </c>
      <c r="D423" t="s">
        <v>16</v>
      </c>
      <c r="E423" t="s">
        <v>23</v>
      </c>
      <c r="F423" t="s">
        <v>24</v>
      </c>
      <c r="G423" t="s">
        <v>18</v>
      </c>
      <c r="H423" t="s">
        <v>24</v>
      </c>
      <c r="I423" t="s">
        <v>33</v>
      </c>
      <c r="J423">
        <v>5.69</v>
      </c>
      <c r="K423">
        <v>36</v>
      </c>
      <c r="L423" t="s">
        <v>25</v>
      </c>
      <c r="M423" t="str">
        <f t="shared" si="12"/>
        <v>Delayed</v>
      </c>
      <c r="N423" t="str">
        <f t="shared" si="13"/>
        <v>Chennai → Bangalore</v>
      </c>
    </row>
    <row r="424" spans="1:14">
      <c r="A424" s="1">
        <v>45344</v>
      </c>
      <c r="B424" t="s">
        <v>29</v>
      </c>
      <c r="C424" t="s">
        <v>436</v>
      </c>
      <c r="D424" t="s">
        <v>15</v>
      </c>
      <c r="E424" t="s">
        <v>40</v>
      </c>
      <c r="F424" t="s">
        <v>17</v>
      </c>
      <c r="G424" t="s">
        <v>37</v>
      </c>
      <c r="H424" t="s">
        <v>32</v>
      </c>
      <c r="I424" t="s">
        <v>33</v>
      </c>
      <c r="J424">
        <v>11.44</v>
      </c>
      <c r="K424">
        <v>32</v>
      </c>
      <c r="L424" t="s">
        <v>25</v>
      </c>
      <c r="M424" t="str">
        <f t="shared" si="12"/>
        <v>Delayed</v>
      </c>
      <c r="N424" t="str">
        <f t="shared" si="13"/>
        <v>Delhi → Kolkata</v>
      </c>
    </row>
    <row r="425" spans="1:14">
      <c r="A425" s="1">
        <v>45351</v>
      </c>
      <c r="B425" t="s">
        <v>45</v>
      </c>
      <c r="C425" t="s">
        <v>437</v>
      </c>
      <c r="D425" t="s">
        <v>16</v>
      </c>
      <c r="E425" t="s">
        <v>22</v>
      </c>
      <c r="F425" t="s">
        <v>17</v>
      </c>
      <c r="G425" t="s">
        <v>37</v>
      </c>
      <c r="H425" t="s">
        <v>17</v>
      </c>
      <c r="I425" t="s">
        <v>19</v>
      </c>
      <c r="J425">
        <v>10.27</v>
      </c>
      <c r="K425">
        <v>0</v>
      </c>
      <c r="L425" t="s">
        <v>20</v>
      </c>
      <c r="M425" t="str">
        <f t="shared" si="12"/>
        <v>On Time</v>
      </c>
      <c r="N425" t="str">
        <f t="shared" si="13"/>
        <v>Chennai → Mumbai</v>
      </c>
    </row>
    <row r="426" spans="1:14">
      <c r="A426" s="1">
        <v>45331</v>
      </c>
      <c r="B426" t="s">
        <v>29</v>
      </c>
      <c r="C426" t="s">
        <v>438</v>
      </c>
      <c r="D426" t="s">
        <v>22</v>
      </c>
      <c r="E426" t="s">
        <v>15</v>
      </c>
      <c r="F426" t="s">
        <v>31</v>
      </c>
      <c r="G426" t="s">
        <v>37</v>
      </c>
      <c r="H426" t="s">
        <v>31</v>
      </c>
      <c r="I426" t="s">
        <v>19</v>
      </c>
      <c r="J426">
        <v>10.4</v>
      </c>
      <c r="K426">
        <v>0</v>
      </c>
      <c r="L426" t="s">
        <v>20</v>
      </c>
      <c r="M426" t="str">
        <f t="shared" si="12"/>
        <v>On Time</v>
      </c>
      <c r="N426" t="str">
        <f t="shared" si="13"/>
        <v>Mumbai → Delhi</v>
      </c>
    </row>
    <row r="427" spans="1:14">
      <c r="A427" s="1">
        <v>45331</v>
      </c>
      <c r="B427" t="s">
        <v>29</v>
      </c>
      <c r="C427" t="s">
        <v>439</v>
      </c>
      <c r="D427" t="s">
        <v>16</v>
      </c>
      <c r="E427" t="s">
        <v>40</v>
      </c>
      <c r="F427" t="s">
        <v>28</v>
      </c>
      <c r="G427" t="s">
        <v>18</v>
      </c>
      <c r="H427" t="s">
        <v>32</v>
      </c>
      <c r="I427" t="s">
        <v>33</v>
      </c>
      <c r="J427">
        <v>9.3800000000000008</v>
      </c>
      <c r="K427">
        <v>0</v>
      </c>
      <c r="L427" t="s">
        <v>20</v>
      </c>
      <c r="M427" t="str">
        <f t="shared" si="12"/>
        <v>On Time</v>
      </c>
      <c r="N427" t="str">
        <f t="shared" si="13"/>
        <v>Chennai → Kolkata</v>
      </c>
    </row>
    <row r="428" spans="1:14">
      <c r="A428" s="1">
        <v>45295</v>
      </c>
      <c r="B428" t="s">
        <v>35</v>
      </c>
      <c r="C428" t="s">
        <v>440</v>
      </c>
      <c r="D428" t="s">
        <v>16</v>
      </c>
      <c r="E428" t="s">
        <v>27</v>
      </c>
      <c r="F428" t="s">
        <v>24</v>
      </c>
      <c r="G428" t="s">
        <v>37</v>
      </c>
      <c r="H428" t="s">
        <v>31</v>
      </c>
      <c r="I428" t="s">
        <v>33</v>
      </c>
      <c r="J428">
        <v>6.3</v>
      </c>
      <c r="K428">
        <v>0</v>
      </c>
      <c r="L428" t="s">
        <v>20</v>
      </c>
      <c r="M428" t="str">
        <f t="shared" si="12"/>
        <v>On Time</v>
      </c>
      <c r="N428" t="str">
        <f t="shared" si="13"/>
        <v>Chennai → Hyderabad</v>
      </c>
    </row>
    <row r="429" spans="1:14">
      <c r="A429" s="1">
        <v>45336</v>
      </c>
      <c r="B429" t="s">
        <v>35</v>
      </c>
      <c r="C429" t="s">
        <v>441</v>
      </c>
      <c r="D429" t="s">
        <v>16</v>
      </c>
      <c r="E429" t="s">
        <v>23</v>
      </c>
      <c r="F429" t="s">
        <v>31</v>
      </c>
      <c r="G429" t="s">
        <v>18</v>
      </c>
      <c r="H429" t="s">
        <v>31</v>
      </c>
      <c r="I429" t="s">
        <v>33</v>
      </c>
      <c r="J429">
        <v>4.92</v>
      </c>
      <c r="K429">
        <v>0</v>
      </c>
      <c r="L429" t="s">
        <v>20</v>
      </c>
      <c r="M429" t="str">
        <f t="shared" si="12"/>
        <v>On Time</v>
      </c>
      <c r="N429" t="str">
        <f t="shared" si="13"/>
        <v>Chennai → Bangalore</v>
      </c>
    </row>
    <row r="430" spans="1:14">
      <c r="A430" s="1">
        <v>45347</v>
      </c>
      <c r="B430" t="s">
        <v>29</v>
      </c>
      <c r="C430" t="s">
        <v>442</v>
      </c>
      <c r="D430" t="s">
        <v>22</v>
      </c>
      <c r="E430" t="s">
        <v>40</v>
      </c>
      <c r="F430" t="s">
        <v>28</v>
      </c>
      <c r="G430" t="s">
        <v>37</v>
      </c>
      <c r="H430" t="s">
        <v>17</v>
      </c>
      <c r="I430" t="s">
        <v>33</v>
      </c>
      <c r="J430">
        <v>3.43</v>
      </c>
      <c r="K430">
        <v>83</v>
      </c>
      <c r="L430" t="s">
        <v>52</v>
      </c>
      <c r="M430" t="str">
        <f t="shared" si="12"/>
        <v>Delayed</v>
      </c>
      <c r="N430" t="str">
        <f t="shared" si="13"/>
        <v>Mumbai → Kolkata</v>
      </c>
    </row>
    <row r="431" spans="1:14">
      <c r="A431" s="1">
        <v>45305</v>
      </c>
      <c r="B431" t="s">
        <v>38</v>
      </c>
      <c r="C431" t="s">
        <v>443</v>
      </c>
      <c r="D431" t="s">
        <v>40</v>
      </c>
      <c r="E431" t="s">
        <v>23</v>
      </c>
      <c r="F431" t="s">
        <v>28</v>
      </c>
      <c r="G431" t="s">
        <v>37</v>
      </c>
      <c r="H431" t="s">
        <v>32</v>
      </c>
      <c r="I431" t="s">
        <v>33</v>
      </c>
      <c r="J431">
        <v>11.78</v>
      </c>
      <c r="K431">
        <v>0</v>
      </c>
      <c r="L431" t="s">
        <v>20</v>
      </c>
      <c r="M431" t="str">
        <f t="shared" si="12"/>
        <v>On Time</v>
      </c>
      <c r="N431" t="str">
        <f t="shared" si="13"/>
        <v>Kolkata → Bangalore</v>
      </c>
    </row>
    <row r="432" spans="1:14">
      <c r="A432" s="1">
        <v>45306</v>
      </c>
      <c r="B432" t="s">
        <v>13</v>
      </c>
      <c r="C432" t="s">
        <v>444</v>
      </c>
      <c r="D432" t="s">
        <v>40</v>
      </c>
      <c r="E432" t="s">
        <v>23</v>
      </c>
      <c r="F432" t="s">
        <v>17</v>
      </c>
      <c r="G432" t="s">
        <v>37</v>
      </c>
      <c r="H432" t="s">
        <v>24</v>
      </c>
      <c r="I432" t="s">
        <v>33</v>
      </c>
      <c r="J432">
        <v>9.9</v>
      </c>
      <c r="K432">
        <v>0</v>
      </c>
      <c r="L432" t="s">
        <v>20</v>
      </c>
      <c r="M432" t="str">
        <f t="shared" si="12"/>
        <v>On Time</v>
      </c>
      <c r="N432" t="str">
        <f t="shared" si="13"/>
        <v>Kolkata → Bangalore</v>
      </c>
    </row>
    <row r="433" spans="1:14">
      <c r="A433" s="1">
        <v>45301</v>
      </c>
      <c r="B433" t="s">
        <v>38</v>
      </c>
      <c r="C433" t="s">
        <v>422</v>
      </c>
      <c r="D433" t="s">
        <v>15</v>
      </c>
      <c r="E433" t="s">
        <v>23</v>
      </c>
      <c r="F433" t="s">
        <v>32</v>
      </c>
      <c r="G433" t="s">
        <v>18</v>
      </c>
      <c r="H433" t="s">
        <v>32</v>
      </c>
      <c r="I433" t="s">
        <v>33</v>
      </c>
      <c r="J433">
        <v>4.1399999999999997</v>
      </c>
      <c r="K433">
        <v>105</v>
      </c>
      <c r="L433" t="s">
        <v>52</v>
      </c>
      <c r="M433" t="str">
        <f t="shared" si="12"/>
        <v>Delayed</v>
      </c>
      <c r="N433" t="str">
        <f t="shared" si="13"/>
        <v>Delhi → Bangalore</v>
      </c>
    </row>
    <row r="434" spans="1:14">
      <c r="A434" s="1">
        <v>45328</v>
      </c>
      <c r="B434" t="s">
        <v>13</v>
      </c>
      <c r="C434" t="s">
        <v>445</v>
      </c>
      <c r="D434" t="s">
        <v>16</v>
      </c>
      <c r="E434" t="s">
        <v>15</v>
      </c>
      <c r="F434" t="s">
        <v>17</v>
      </c>
      <c r="G434" t="s">
        <v>18</v>
      </c>
      <c r="H434" t="s">
        <v>31</v>
      </c>
      <c r="I434" t="s">
        <v>33</v>
      </c>
      <c r="J434">
        <v>6.22</v>
      </c>
      <c r="K434">
        <v>0</v>
      </c>
      <c r="L434" t="s">
        <v>20</v>
      </c>
      <c r="M434" t="str">
        <f t="shared" si="12"/>
        <v>On Time</v>
      </c>
      <c r="N434" t="str">
        <f t="shared" si="13"/>
        <v>Chennai → Delhi</v>
      </c>
    </row>
    <row r="435" spans="1:14">
      <c r="A435" s="1">
        <v>45308</v>
      </c>
      <c r="B435" t="s">
        <v>29</v>
      </c>
      <c r="C435" t="s">
        <v>446</v>
      </c>
      <c r="D435" t="s">
        <v>23</v>
      </c>
      <c r="E435" t="s">
        <v>40</v>
      </c>
      <c r="F435" t="s">
        <v>24</v>
      </c>
      <c r="G435" t="s">
        <v>37</v>
      </c>
      <c r="H435" t="s">
        <v>28</v>
      </c>
      <c r="I435" t="s">
        <v>19</v>
      </c>
      <c r="J435">
        <v>5.19</v>
      </c>
      <c r="K435">
        <v>0</v>
      </c>
      <c r="L435" t="s">
        <v>20</v>
      </c>
      <c r="M435" t="str">
        <f t="shared" si="12"/>
        <v>On Time</v>
      </c>
      <c r="N435" t="str">
        <f t="shared" si="13"/>
        <v>Bangalore → Kolkata</v>
      </c>
    </row>
    <row r="436" spans="1:14">
      <c r="A436" s="1">
        <v>45330</v>
      </c>
      <c r="B436" t="s">
        <v>45</v>
      </c>
      <c r="C436" t="s">
        <v>447</v>
      </c>
      <c r="D436" t="s">
        <v>27</v>
      </c>
      <c r="E436" t="s">
        <v>40</v>
      </c>
      <c r="F436" t="s">
        <v>24</v>
      </c>
      <c r="G436" t="s">
        <v>37</v>
      </c>
      <c r="H436" t="s">
        <v>17</v>
      </c>
      <c r="I436" t="s">
        <v>33</v>
      </c>
      <c r="J436">
        <v>6.19</v>
      </c>
      <c r="K436">
        <v>46</v>
      </c>
      <c r="L436" t="s">
        <v>34</v>
      </c>
      <c r="M436" t="str">
        <f t="shared" si="12"/>
        <v>Delayed</v>
      </c>
      <c r="N436" t="str">
        <f t="shared" si="13"/>
        <v>Hyderabad → Kolkata</v>
      </c>
    </row>
    <row r="437" spans="1:14">
      <c r="A437" s="1">
        <v>45316</v>
      </c>
      <c r="B437" t="s">
        <v>35</v>
      </c>
      <c r="C437" t="s">
        <v>448</v>
      </c>
      <c r="D437" t="s">
        <v>23</v>
      </c>
      <c r="E437" t="s">
        <v>27</v>
      </c>
      <c r="F437" t="s">
        <v>17</v>
      </c>
      <c r="G437" t="s">
        <v>37</v>
      </c>
      <c r="H437" t="s">
        <v>17</v>
      </c>
      <c r="I437" t="s">
        <v>33</v>
      </c>
      <c r="J437">
        <v>2.33</v>
      </c>
      <c r="K437">
        <v>85</v>
      </c>
      <c r="L437" t="s">
        <v>25</v>
      </c>
      <c r="M437" t="str">
        <f t="shared" si="12"/>
        <v>Delayed</v>
      </c>
      <c r="N437" t="str">
        <f t="shared" si="13"/>
        <v>Bangalore → Hyderabad</v>
      </c>
    </row>
    <row r="438" spans="1:14">
      <c r="A438" s="1">
        <v>45306</v>
      </c>
      <c r="B438" t="s">
        <v>29</v>
      </c>
      <c r="C438" t="s">
        <v>392</v>
      </c>
      <c r="D438" t="s">
        <v>23</v>
      </c>
      <c r="E438" t="s">
        <v>16</v>
      </c>
      <c r="F438" t="s">
        <v>28</v>
      </c>
      <c r="G438" t="s">
        <v>37</v>
      </c>
      <c r="H438" t="s">
        <v>24</v>
      </c>
      <c r="I438" t="s">
        <v>33</v>
      </c>
      <c r="J438">
        <v>9.35</v>
      </c>
      <c r="K438">
        <v>118</v>
      </c>
      <c r="L438" t="s">
        <v>52</v>
      </c>
      <c r="M438" t="str">
        <f t="shared" si="12"/>
        <v>Delayed</v>
      </c>
      <c r="N438" t="str">
        <f t="shared" si="13"/>
        <v>Bangalore → Chennai</v>
      </c>
    </row>
    <row r="439" spans="1:14">
      <c r="A439" s="1">
        <v>45320</v>
      </c>
      <c r="B439" t="s">
        <v>38</v>
      </c>
      <c r="C439" t="s">
        <v>449</v>
      </c>
      <c r="D439" t="s">
        <v>22</v>
      </c>
      <c r="E439" t="s">
        <v>23</v>
      </c>
      <c r="F439" t="s">
        <v>31</v>
      </c>
      <c r="G439" t="s">
        <v>18</v>
      </c>
      <c r="H439" t="s">
        <v>17</v>
      </c>
      <c r="I439" t="s">
        <v>33</v>
      </c>
      <c r="J439">
        <v>3.71</v>
      </c>
      <c r="K439">
        <v>0</v>
      </c>
      <c r="L439" t="s">
        <v>20</v>
      </c>
      <c r="M439" t="str">
        <f t="shared" si="12"/>
        <v>On Time</v>
      </c>
      <c r="N439" t="str">
        <f t="shared" si="13"/>
        <v>Mumbai → Bangalore</v>
      </c>
    </row>
    <row r="440" spans="1:14">
      <c r="A440" s="1">
        <v>45298</v>
      </c>
      <c r="B440" t="s">
        <v>13</v>
      </c>
      <c r="C440" t="s">
        <v>364</v>
      </c>
      <c r="D440" t="s">
        <v>15</v>
      </c>
      <c r="E440" t="s">
        <v>27</v>
      </c>
      <c r="F440" t="s">
        <v>24</v>
      </c>
      <c r="G440" t="s">
        <v>18</v>
      </c>
      <c r="H440" t="s">
        <v>31</v>
      </c>
      <c r="I440" t="s">
        <v>33</v>
      </c>
      <c r="J440">
        <v>2.59</v>
      </c>
      <c r="K440">
        <v>0</v>
      </c>
      <c r="L440" t="s">
        <v>20</v>
      </c>
      <c r="M440" t="str">
        <f t="shared" si="12"/>
        <v>On Time</v>
      </c>
      <c r="N440" t="str">
        <f t="shared" si="13"/>
        <v>Delhi → Hyderabad</v>
      </c>
    </row>
    <row r="441" spans="1:14">
      <c r="A441" s="1">
        <v>45301</v>
      </c>
      <c r="B441" t="s">
        <v>13</v>
      </c>
      <c r="C441" t="s">
        <v>450</v>
      </c>
      <c r="D441" t="s">
        <v>40</v>
      </c>
      <c r="E441" t="s">
        <v>16</v>
      </c>
      <c r="F441" t="s">
        <v>28</v>
      </c>
      <c r="G441" t="s">
        <v>18</v>
      </c>
      <c r="H441" t="s">
        <v>17</v>
      </c>
      <c r="I441" t="s">
        <v>33</v>
      </c>
      <c r="J441">
        <v>2.88</v>
      </c>
      <c r="K441">
        <v>0</v>
      </c>
      <c r="L441" t="s">
        <v>20</v>
      </c>
      <c r="M441" t="str">
        <f t="shared" si="12"/>
        <v>On Time</v>
      </c>
      <c r="N441" t="str">
        <f t="shared" si="13"/>
        <v>Kolkata → Chennai</v>
      </c>
    </row>
    <row r="442" spans="1:14">
      <c r="A442" s="1">
        <v>45302</v>
      </c>
      <c r="B442" t="s">
        <v>13</v>
      </c>
      <c r="C442" t="s">
        <v>421</v>
      </c>
      <c r="D442" t="s">
        <v>15</v>
      </c>
      <c r="E442" t="s">
        <v>16</v>
      </c>
      <c r="F442" t="s">
        <v>28</v>
      </c>
      <c r="G442" t="s">
        <v>37</v>
      </c>
      <c r="H442" t="s">
        <v>32</v>
      </c>
      <c r="I442" t="s">
        <v>33</v>
      </c>
      <c r="J442">
        <v>11.68</v>
      </c>
      <c r="K442">
        <v>75</v>
      </c>
      <c r="L442" t="s">
        <v>25</v>
      </c>
      <c r="M442" t="str">
        <f t="shared" si="12"/>
        <v>Delayed</v>
      </c>
      <c r="N442" t="str">
        <f t="shared" si="13"/>
        <v>Delhi → Chennai</v>
      </c>
    </row>
    <row r="443" spans="1:14">
      <c r="A443" s="1">
        <v>45326</v>
      </c>
      <c r="B443" t="s">
        <v>45</v>
      </c>
      <c r="C443" t="s">
        <v>216</v>
      </c>
      <c r="D443" t="s">
        <v>27</v>
      </c>
      <c r="E443" t="s">
        <v>40</v>
      </c>
      <c r="F443" t="s">
        <v>32</v>
      </c>
      <c r="G443" t="s">
        <v>37</v>
      </c>
      <c r="H443" t="s">
        <v>24</v>
      </c>
      <c r="I443" t="s">
        <v>33</v>
      </c>
      <c r="J443">
        <v>3.88</v>
      </c>
      <c r="K443">
        <v>49</v>
      </c>
      <c r="L443" t="s">
        <v>34</v>
      </c>
      <c r="M443" t="str">
        <f t="shared" si="12"/>
        <v>Delayed</v>
      </c>
      <c r="N443" t="str">
        <f t="shared" si="13"/>
        <v>Hyderabad → Kolkata</v>
      </c>
    </row>
    <row r="444" spans="1:14">
      <c r="A444" s="1">
        <v>45320</v>
      </c>
      <c r="B444" t="s">
        <v>29</v>
      </c>
      <c r="C444" t="s">
        <v>451</v>
      </c>
      <c r="D444" t="s">
        <v>23</v>
      </c>
      <c r="E444" t="s">
        <v>27</v>
      </c>
      <c r="F444" t="s">
        <v>28</v>
      </c>
      <c r="G444" t="s">
        <v>37</v>
      </c>
      <c r="H444" t="s">
        <v>17</v>
      </c>
      <c r="I444" t="s">
        <v>19</v>
      </c>
      <c r="J444">
        <v>5.1100000000000003</v>
      </c>
      <c r="K444">
        <v>0</v>
      </c>
      <c r="L444" t="s">
        <v>20</v>
      </c>
      <c r="M444" t="str">
        <f t="shared" si="12"/>
        <v>On Time</v>
      </c>
      <c r="N444" t="str">
        <f t="shared" si="13"/>
        <v>Bangalore → Hyderabad</v>
      </c>
    </row>
    <row r="445" spans="1:14">
      <c r="A445" s="1">
        <v>45326</v>
      </c>
      <c r="B445" t="s">
        <v>13</v>
      </c>
      <c r="C445" t="s">
        <v>452</v>
      </c>
      <c r="D445" t="s">
        <v>40</v>
      </c>
      <c r="E445" t="s">
        <v>16</v>
      </c>
      <c r="F445" t="s">
        <v>32</v>
      </c>
      <c r="G445" t="s">
        <v>18</v>
      </c>
      <c r="H445" t="s">
        <v>28</v>
      </c>
      <c r="I445" t="s">
        <v>33</v>
      </c>
      <c r="J445">
        <v>3.93</v>
      </c>
      <c r="K445">
        <v>107</v>
      </c>
      <c r="L445" t="s">
        <v>34</v>
      </c>
      <c r="M445" t="str">
        <f t="shared" si="12"/>
        <v>Delayed</v>
      </c>
      <c r="N445" t="str">
        <f t="shared" si="13"/>
        <v>Kolkata → Chennai</v>
      </c>
    </row>
    <row r="446" spans="1:14">
      <c r="A446" s="1">
        <v>45327</v>
      </c>
      <c r="B446" t="s">
        <v>29</v>
      </c>
      <c r="C446" t="s">
        <v>453</v>
      </c>
      <c r="D446" t="s">
        <v>22</v>
      </c>
      <c r="E446" t="s">
        <v>27</v>
      </c>
      <c r="F446" t="s">
        <v>24</v>
      </c>
      <c r="G446" t="s">
        <v>37</v>
      </c>
      <c r="H446" t="s">
        <v>32</v>
      </c>
      <c r="I446" t="s">
        <v>19</v>
      </c>
      <c r="J446">
        <v>3.82</v>
      </c>
      <c r="K446">
        <v>25</v>
      </c>
      <c r="L446" t="s">
        <v>52</v>
      </c>
      <c r="M446" t="str">
        <f t="shared" si="12"/>
        <v>Delayed</v>
      </c>
      <c r="N446" t="str">
        <f t="shared" si="13"/>
        <v>Mumbai → Hyderabad</v>
      </c>
    </row>
    <row r="447" spans="1:14">
      <c r="A447" s="1">
        <v>45319</v>
      </c>
      <c r="B447" t="s">
        <v>45</v>
      </c>
      <c r="C447" t="s">
        <v>454</v>
      </c>
      <c r="D447" t="s">
        <v>27</v>
      </c>
      <c r="E447" t="s">
        <v>40</v>
      </c>
      <c r="F447" t="s">
        <v>28</v>
      </c>
      <c r="G447" t="s">
        <v>37</v>
      </c>
      <c r="H447" t="s">
        <v>28</v>
      </c>
      <c r="I447" t="s">
        <v>33</v>
      </c>
      <c r="J447">
        <v>3.42</v>
      </c>
      <c r="K447">
        <v>0</v>
      </c>
      <c r="L447" t="s">
        <v>20</v>
      </c>
      <c r="M447" t="str">
        <f t="shared" si="12"/>
        <v>On Time</v>
      </c>
      <c r="N447" t="str">
        <f t="shared" si="13"/>
        <v>Hyderabad → Kolkata</v>
      </c>
    </row>
    <row r="448" spans="1:14">
      <c r="A448" s="1">
        <v>45299</v>
      </c>
      <c r="B448" t="s">
        <v>38</v>
      </c>
      <c r="C448" t="s">
        <v>455</v>
      </c>
      <c r="D448" t="s">
        <v>27</v>
      </c>
      <c r="E448" t="s">
        <v>16</v>
      </c>
      <c r="F448" t="s">
        <v>28</v>
      </c>
      <c r="G448" t="s">
        <v>37</v>
      </c>
      <c r="H448" t="s">
        <v>24</v>
      </c>
      <c r="I448" t="s">
        <v>19</v>
      </c>
      <c r="J448">
        <v>3.1</v>
      </c>
      <c r="K448">
        <v>0</v>
      </c>
      <c r="L448" t="s">
        <v>20</v>
      </c>
      <c r="M448" t="str">
        <f t="shared" si="12"/>
        <v>On Time</v>
      </c>
      <c r="N448" t="str">
        <f t="shared" si="13"/>
        <v>Hyderabad → Chennai</v>
      </c>
    </row>
    <row r="449" spans="1:14">
      <c r="A449" s="1">
        <v>45293</v>
      </c>
      <c r="B449" t="s">
        <v>45</v>
      </c>
      <c r="C449" t="s">
        <v>456</v>
      </c>
      <c r="D449" t="s">
        <v>15</v>
      </c>
      <c r="E449" t="s">
        <v>16</v>
      </c>
      <c r="F449" t="s">
        <v>28</v>
      </c>
      <c r="G449" t="s">
        <v>37</v>
      </c>
      <c r="H449" t="s">
        <v>17</v>
      </c>
      <c r="I449" t="s">
        <v>19</v>
      </c>
      <c r="J449">
        <v>3.08</v>
      </c>
      <c r="K449">
        <v>0</v>
      </c>
      <c r="L449" t="s">
        <v>20</v>
      </c>
      <c r="M449" t="str">
        <f t="shared" si="12"/>
        <v>On Time</v>
      </c>
      <c r="N449" t="str">
        <f t="shared" si="13"/>
        <v>Delhi → Chennai</v>
      </c>
    </row>
    <row r="450" spans="1:14">
      <c r="A450" s="1">
        <v>45305</v>
      </c>
      <c r="B450" t="s">
        <v>29</v>
      </c>
      <c r="C450" t="s">
        <v>457</v>
      </c>
      <c r="D450" t="s">
        <v>16</v>
      </c>
      <c r="E450" t="s">
        <v>23</v>
      </c>
      <c r="F450" t="s">
        <v>32</v>
      </c>
      <c r="G450" t="s">
        <v>37</v>
      </c>
      <c r="H450" t="s">
        <v>28</v>
      </c>
      <c r="I450" t="s">
        <v>19</v>
      </c>
      <c r="J450">
        <v>10.36</v>
      </c>
      <c r="K450">
        <v>0</v>
      </c>
      <c r="L450" t="s">
        <v>20</v>
      </c>
      <c r="M450" t="str">
        <f t="shared" ref="M450:M513" si="14">IF(K450=0,"On Time","Delayed")</f>
        <v>On Time</v>
      </c>
      <c r="N450" t="str">
        <f t="shared" ref="N450:N513" si="15">D450 &amp; " → " &amp; E450</f>
        <v>Chennai → Bangalore</v>
      </c>
    </row>
    <row r="451" spans="1:14">
      <c r="A451" s="1">
        <v>45295</v>
      </c>
      <c r="B451" t="s">
        <v>29</v>
      </c>
      <c r="C451" t="s">
        <v>458</v>
      </c>
      <c r="D451" t="s">
        <v>16</v>
      </c>
      <c r="E451" t="s">
        <v>15</v>
      </c>
      <c r="F451" t="s">
        <v>24</v>
      </c>
      <c r="G451" t="s">
        <v>18</v>
      </c>
      <c r="H451" t="s">
        <v>32</v>
      </c>
      <c r="I451" t="s">
        <v>19</v>
      </c>
      <c r="J451">
        <v>10.199999999999999</v>
      </c>
      <c r="K451">
        <v>119</v>
      </c>
      <c r="L451" t="s">
        <v>52</v>
      </c>
      <c r="M451" t="str">
        <f t="shared" si="14"/>
        <v>Delayed</v>
      </c>
      <c r="N451" t="str">
        <f t="shared" si="15"/>
        <v>Chennai → Delhi</v>
      </c>
    </row>
    <row r="452" spans="1:14">
      <c r="A452" s="1">
        <v>45341</v>
      </c>
      <c r="B452" t="s">
        <v>45</v>
      </c>
      <c r="C452" t="s">
        <v>459</v>
      </c>
      <c r="D452" t="s">
        <v>16</v>
      </c>
      <c r="E452" t="s">
        <v>27</v>
      </c>
      <c r="F452" t="s">
        <v>17</v>
      </c>
      <c r="G452" t="s">
        <v>18</v>
      </c>
      <c r="H452" t="s">
        <v>31</v>
      </c>
      <c r="I452" t="s">
        <v>33</v>
      </c>
      <c r="J452">
        <v>6.97</v>
      </c>
      <c r="K452">
        <v>0</v>
      </c>
      <c r="L452" t="s">
        <v>20</v>
      </c>
      <c r="M452" t="str">
        <f t="shared" si="14"/>
        <v>On Time</v>
      </c>
      <c r="N452" t="str">
        <f t="shared" si="15"/>
        <v>Chennai → Hyderabad</v>
      </c>
    </row>
    <row r="453" spans="1:14">
      <c r="A453" s="1">
        <v>45322</v>
      </c>
      <c r="B453" t="s">
        <v>38</v>
      </c>
      <c r="C453" t="s">
        <v>460</v>
      </c>
      <c r="D453" t="s">
        <v>40</v>
      </c>
      <c r="E453" t="s">
        <v>23</v>
      </c>
      <c r="F453" t="s">
        <v>28</v>
      </c>
      <c r="G453" t="s">
        <v>18</v>
      </c>
      <c r="H453" t="s">
        <v>17</v>
      </c>
      <c r="I453" t="s">
        <v>19</v>
      </c>
      <c r="J453">
        <v>4.6399999999999997</v>
      </c>
      <c r="K453">
        <v>37</v>
      </c>
      <c r="L453" t="s">
        <v>34</v>
      </c>
      <c r="M453" t="str">
        <f t="shared" si="14"/>
        <v>Delayed</v>
      </c>
      <c r="N453" t="str">
        <f t="shared" si="15"/>
        <v>Kolkata → Bangalore</v>
      </c>
    </row>
    <row r="454" spans="1:14">
      <c r="A454" s="1">
        <v>45348</v>
      </c>
      <c r="B454" t="s">
        <v>13</v>
      </c>
      <c r="C454" t="s">
        <v>461</v>
      </c>
      <c r="D454" t="s">
        <v>40</v>
      </c>
      <c r="E454" t="s">
        <v>22</v>
      </c>
      <c r="F454" t="s">
        <v>31</v>
      </c>
      <c r="G454" t="s">
        <v>37</v>
      </c>
      <c r="H454" t="s">
        <v>17</v>
      </c>
      <c r="I454" t="s">
        <v>33</v>
      </c>
      <c r="J454">
        <v>9.84</v>
      </c>
      <c r="K454">
        <v>0</v>
      </c>
      <c r="L454" t="s">
        <v>20</v>
      </c>
      <c r="M454" t="str">
        <f t="shared" si="14"/>
        <v>On Time</v>
      </c>
      <c r="N454" t="str">
        <f t="shared" si="15"/>
        <v>Kolkata → Mumbai</v>
      </c>
    </row>
    <row r="455" spans="1:14">
      <c r="A455" s="1">
        <v>45299</v>
      </c>
      <c r="B455" t="s">
        <v>38</v>
      </c>
      <c r="C455" t="s">
        <v>462</v>
      </c>
      <c r="D455" t="s">
        <v>22</v>
      </c>
      <c r="E455" t="s">
        <v>15</v>
      </c>
      <c r="F455" t="s">
        <v>31</v>
      </c>
      <c r="G455" t="s">
        <v>37</v>
      </c>
      <c r="H455" t="s">
        <v>24</v>
      </c>
      <c r="I455" t="s">
        <v>19</v>
      </c>
      <c r="J455">
        <v>4.1100000000000003</v>
      </c>
      <c r="K455">
        <v>0</v>
      </c>
      <c r="L455" t="s">
        <v>20</v>
      </c>
      <c r="M455" t="str">
        <f t="shared" si="14"/>
        <v>On Time</v>
      </c>
      <c r="N455" t="str">
        <f t="shared" si="15"/>
        <v>Mumbai → Delhi</v>
      </c>
    </row>
    <row r="456" spans="1:14">
      <c r="A456" s="1">
        <v>45297</v>
      </c>
      <c r="B456" t="s">
        <v>35</v>
      </c>
      <c r="C456" t="s">
        <v>463</v>
      </c>
      <c r="D456" t="s">
        <v>23</v>
      </c>
      <c r="E456" t="s">
        <v>15</v>
      </c>
      <c r="F456" t="s">
        <v>31</v>
      </c>
      <c r="G456" t="s">
        <v>18</v>
      </c>
      <c r="H456" t="s">
        <v>28</v>
      </c>
      <c r="I456" t="s">
        <v>19</v>
      </c>
      <c r="J456">
        <v>4.83</v>
      </c>
      <c r="K456">
        <v>21</v>
      </c>
      <c r="L456" t="s">
        <v>25</v>
      </c>
      <c r="M456" t="str">
        <f t="shared" si="14"/>
        <v>Delayed</v>
      </c>
      <c r="N456" t="str">
        <f t="shared" si="15"/>
        <v>Bangalore → Delhi</v>
      </c>
    </row>
    <row r="457" spans="1:14">
      <c r="A457" s="1">
        <v>45342</v>
      </c>
      <c r="B457" t="s">
        <v>29</v>
      </c>
      <c r="C457" t="s">
        <v>464</v>
      </c>
      <c r="D457" t="s">
        <v>16</v>
      </c>
      <c r="E457" t="s">
        <v>22</v>
      </c>
      <c r="F457" t="s">
        <v>31</v>
      </c>
      <c r="G457" t="s">
        <v>37</v>
      </c>
      <c r="H457" t="s">
        <v>32</v>
      </c>
      <c r="I457" t="s">
        <v>19</v>
      </c>
      <c r="J457">
        <v>6.6</v>
      </c>
      <c r="K457">
        <v>0</v>
      </c>
      <c r="L457" t="s">
        <v>20</v>
      </c>
      <c r="M457" t="str">
        <f t="shared" si="14"/>
        <v>On Time</v>
      </c>
      <c r="N457" t="str">
        <f t="shared" si="15"/>
        <v>Chennai → Mumbai</v>
      </c>
    </row>
    <row r="458" spans="1:14">
      <c r="A458" s="1">
        <v>45327</v>
      </c>
      <c r="B458" t="s">
        <v>29</v>
      </c>
      <c r="C458" t="s">
        <v>465</v>
      </c>
      <c r="D458" t="s">
        <v>27</v>
      </c>
      <c r="E458" t="s">
        <v>16</v>
      </c>
      <c r="F458" t="s">
        <v>17</v>
      </c>
      <c r="G458" t="s">
        <v>18</v>
      </c>
      <c r="H458" t="s">
        <v>24</v>
      </c>
      <c r="I458" t="s">
        <v>33</v>
      </c>
      <c r="J458">
        <v>10.61</v>
      </c>
      <c r="K458">
        <v>46</v>
      </c>
      <c r="L458" t="s">
        <v>52</v>
      </c>
      <c r="M458" t="str">
        <f t="shared" si="14"/>
        <v>Delayed</v>
      </c>
      <c r="N458" t="str">
        <f t="shared" si="15"/>
        <v>Hyderabad → Chennai</v>
      </c>
    </row>
    <row r="459" spans="1:14">
      <c r="A459" s="1">
        <v>45350</v>
      </c>
      <c r="B459" t="s">
        <v>35</v>
      </c>
      <c r="C459" t="s">
        <v>466</v>
      </c>
      <c r="D459" t="s">
        <v>22</v>
      </c>
      <c r="E459" t="s">
        <v>15</v>
      </c>
      <c r="F459" t="s">
        <v>24</v>
      </c>
      <c r="G459" t="s">
        <v>37</v>
      </c>
      <c r="H459" t="s">
        <v>17</v>
      </c>
      <c r="I459" t="s">
        <v>33</v>
      </c>
      <c r="J459">
        <v>5.35</v>
      </c>
      <c r="K459">
        <v>109</v>
      </c>
      <c r="L459" t="s">
        <v>34</v>
      </c>
      <c r="M459" t="str">
        <f t="shared" si="14"/>
        <v>Delayed</v>
      </c>
      <c r="N459" t="str">
        <f t="shared" si="15"/>
        <v>Mumbai → Delhi</v>
      </c>
    </row>
    <row r="460" spans="1:14">
      <c r="A460" s="1">
        <v>45341</v>
      </c>
      <c r="B460" t="s">
        <v>35</v>
      </c>
      <c r="C460" t="s">
        <v>467</v>
      </c>
      <c r="D460" t="s">
        <v>16</v>
      </c>
      <c r="E460" t="s">
        <v>22</v>
      </c>
      <c r="F460" t="s">
        <v>31</v>
      </c>
      <c r="G460" t="s">
        <v>37</v>
      </c>
      <c r="H460" t="s">
        <v>24</v>
      </c>
      <c r="I460" t="s">
        <v>19</v>
      </c>
      <c r="J460">
        <v>8.41</v>
      </c>
      <c r="K460">
        <v>0</v>
      </c>
      <c r="L460" t="s">
        <v>20</v>
      </c>
      <c r="M460" t="str">
        <f t="shared" si="14"/>
        <v>On Time</v>
      </c>
      <c r="N460" t="str">
        <f t="shared" si="15"/>
        <v>Chennai → Mumbai</v>
      </c>
    </row>
    <row r="461" spans="1:14">
      <c r="A461" s="1">
        <v>45344</v>
      </c>
      <c r="B461" t="s">
        <v>38</v>
      </c>
      <c r="C461" t="s">
        <v>468</v>
      </c>
      <c r="D461" t="s">
        <v>22</v>
      </c>
      <c r="E461" t="s">
        <v>40</v>
      </c>
      <c r="F461" t="s">
        <v>32</v>
      </c>
      <c r="G461" t="s">
        <v>18</v>
      </c>
      <c r="H461" t="s">
        <v>24</v>
      </c>
      <c r="I461" t="s">
        <v>33</v>
      </c>
      <c r="J461">
        <v>4.88</v>
      </c>
      <c r="K461">
        <v>46</v>
      </c>
      <c r="L461" t="s">
        <v>34</v>
      </c>
      <c r="M461" t="str">
        <f t="shared" si="14"/>
        <v>Delayed</v>
      </c>
      <c r="N461" t="str">
        <f t="shared" si="15"/>
        <v>Mumbai → Kolkata</v>
      </c>
    </row>
    <row r="462" spans="1:14">
      <c r="A462" s="1">
        <v>45325</v>
      </c>
      <c r="B462" t="s">
        <v>13</v>
      </c>
      <c r="C462" t="s">
        <v>469</v>
      </c>
      <c r="D462" t="s">
        <v>15</v>
      </c>
      <c r="E462" t="s">
        <v>23</v>
      </c>
      <c r="F462" t="s">
        <v>17</v>
      </c>
      <c r="G462" t="s">
        <v>18</v>
      </c>
      <c r="H462" t="s">
        <v>31</v>
      </c>
      <c r="I462" t="s">
        <v>19</v>
      </c>
      <c r="J462">
        <v>2.54</v>
      </c>
      <c r="K462">
        <v>0</v>
      </c>
      <c r="L462" t="s">
        <v>20</v>
      </c>
      <c r="M462" t="str">
        <f t="shared" si="14"/>
        <v>On Time</v>
      </c>
      <c r="N462" t="str">
        <f t="shared" si="15"/>
        <v>Delhi → Bangalore</v>
      </c>
    </row>
    <row r="463" spans="1:14">
      <c r="A463" s="1">
        <v>45333</v>
      </c>
      <c r="B463" t="s">
        <v>38</v>
      </c>
      <c r="C463" t="s">
        <v>470</v>
      </c>
      <c r="D463" t="s">
        <v>40</v>
      </c>
      <c r="E463" t="s">
        <v>16</v>
      </c>
      <c r="F463" t="s">
        <v>24</v>
      </c>
      <c r="G463" t="s">
        <v>37</v>
      </c>
      <c r="H463" t="s">
        <v>24</v>
      </c>
      <c r="I463" t="s">
        <v>19</v>
      </c>
      <c r="J463">
        <v>7.86</v>
      </c>
      <c r="K463">
        <v>0</v>
      </c>
      <c r="L463" t="s">
        <v>20</v>
      </c>
      <c r="M463" t="str">
        <f t="shared" si="14"/>
        <v>On Time</v>
      </c>
      <c r="N463" t="str">
        <f t="shared" si="15"/>
        <v>Kolkata → Chennai</v>
      </c>
    </row>
    <row r="464" spans="1:14">
      <c r="A464" s="1">
        <v>45292</v>
      </c>
      <c r="B464" t="s">
        <v>45</v>
      </c>
      <c r="C464" t="s">
        <v>471</v>
      </c>
      <c r="D464" t="s">
        <v>40</v>
      </c>
      <c r="E464" t="s">
        <v>16</v>
      </c>
      <c r="F464" t="s">
        <v>31</v>
      </c>
      <c r="G464" t="s">
        <v>18</v>
      </c>
      <c r="H464" t="s">
        <v>32</v>
      </c>
      <c r="I464" t="s">
        <v>33</v>
      </c>
      <c r="J464">
        <v>9.84</v>
      </c>
      <c r="K464">
        <v>76</v>
      </c>
      <c r="L464" t="s">
        <v>52</v>
      </c>
      <c r="M464" t="str">
        <f t="shared" si="14"/>
        <v>Delayed</v>
      </c>
      <c r="N464" t="str">
        <f t="shared" si="15"/>
        <v>Kolkata → Chennai</v>
      </c>
    </row>
    <row r="465" spans="1:14">
      <c r="A465" s="1">
        <v>45344</v>
      </c>
      <c r="B465" t="s">
        <v>35</v>
      </c>
      <c r="C465" t="s">
        <v>472</v>
      </c>
      <c r="D465" t="s">
        <v>23</v>
      </c>
      <c r="E465" t="s">
        <v>40</v>
      </c>
      <c r="F465" t="s">
        <v>31</v>
      </c>
      <c r="G465" t="s">
        <v>37</v>
      </c>
      <c r="H465" t="s">
        <v>31</v>
      </c>
      <c r="I465" t="s">
        <v>19</v>
      </c>
      <c r="J465">
        <v>2.56</v>
      </c>
      <c r="K465">
        <v>0</v>
      </c>
      <c r="L465" t="s">
        <v>20</v>
      </c>
      <c r="M465" t="str">
        <f t="shared" si="14"/>
        <v>On Time</v>
      </c>
      <c r="N465" t="str">
        <f t="shared" si="15"/>
        <v>Bangalore → Kolkata</v>
      </c>
    </row>
    <row r="466" spans="1:14">
      <c r="A466" s="1">
        <v>45326</v>
      </c>
      <c r="B466" t="s">
        <v>38</v>
      </c>
      <c r="C466" t="s">
        <v>473</v>
      </c>
      <c r="D466" t="s">
        <v>22</v>
      </c>
      <c r="E466" t="s">
        <v>23</v>
      </c>
      <c r="F466" t="s">
        <v>24</v>
      </c>
      <c r="G466" t="s">
        <v>18</v>
      </c>
      <c r="H466" t="s">
        <v>17</v>
      </c>
      <c r="I466" t="s">
        <v>33</v>
      </c>
      <c r="J466">
        <v>9.5500000000000007</v>
      </c>
      <c r="K466">
        <v>0</v>
      </c>
      <c r="L466" t="s">
        <v>20</v>
      </c>
      <c r="M466" t="str">
        <f t="shared" si="14"/>
        <v>On Time</v>
      </c>
      <c r="N466" t="str">
        <f t="shared" si="15"/>
        <v>Mumbai → Bangalore</v>
      </c>
    </row>
    <row r="467" spans="1:14">
      <c r="A467" s="1">
        <v>45314</v>
      </c>
      <c r="B467" t="s">
        <v>38</v>
      </c>
      <c r="C467" t="s">
        <v>474</v>
      </c>
      <c r="D467" t="s">
        <v>40</v>
      </c>
      <c r="E467" t="s">
        <v>16</v>
      </c>
      <c r="F467" t="s">
        <v>31</v>
      </c>
      <c r="G467" t="s">
        <v>18</v>
      </c>
      <c r="H467" t="s">
        <v>17</v>
      </c>
      <c r="I467" t="s">
        <v>33</v>
      </c>
      <c r="J467">
        <v>3.16</v>
      </c>
      <c r="K467">
        <v>69</v>
      </c>
      <c r="L467" t="s">
        <v>34</v>
      </c>
      <c r="M467" t="str">
        <f t="shared" si="14"/>
        <v>Delayed</v>
      </c>
      <c r="N467" t="str">
        <f t="shared" si="15"/>
        <v>Kolkata → Chennai</v>
      </c>
    </row>
    <row r="468" spans="1:14">
      <c r="A468" s="1">
        <v>45320</v>
      </c>
      <c r="B468" t="s">
        <v>29</v>
      </c>
      <c r="C468" t="s">
        <v>475</v>
      </c>
      <c r="D468" t="s">
        <v>23</v>
      </c>
      <c r="E468" t="s">
        <v>40</v>
      </c>
      <c r="F468" t="s">
        <v>28</v>
      </c>
      <c r="G468" t="s">
        <v>37</v>
      </c>
      <c r="H468" t="s">
        <v>28</v>
      </c>
      <c r="I468" t="s">
        <v>33</v>
      </c>
      <c r="J468">
        <v>4.03</v>
      </c>
      <c r="K468">
        <v>110</v>
      </c>
      <c r="L468" t="s">
        <v>34</v>
      </c>
      <c r="M468" t="str">
        <f t="shared" si="14"/>
        <v>Delayed</v>
      </c>
      <c r="N468" t="str">
        <f t="shared" si="15"/>
        <v>Bangalore → Kolkata</v>
      </c>
    </row>
    <row r="469" spans="1:14">
      <c r="A469" s="1">
        <v>45305</v>
      </c>
      <c r="B469" t="s">
        <v>38</v>
      </c>
      <c r="C469" t="s">
        <v>476</v>
      </c>
      <c r="D469" t="s">
        <v>27</v>
      </c>
      <c r="E469" t="s">
        <v>23</v>
      </c>
      <c r="F469" t="s">
        <v>28</v>
      </c>
      <c r="G469" t="s">
        <v>37</v>
      </c>
      <c r="H469" t="s">
        <v>32</v>
      </c>
      <c r="I469" t="s">
        <v>33</v>
      </c>
      <c r="J469">
        <v>11.82</v>
      </c>
      <c r="K469">
        <v>0</v>
      </c>
      <c r="L469" t="s">
        <v>20</v>
      </c>
      <c r="M469" t="str">
        <f t="shared" si="14"/>
        <v>On Time</v>
      </c>
      <c r="N469" t="str">
        <f t="shared" si="15"/>
        <v>Hyderabad → Bangalore</v>
      </c>
    </row>
    <row r="470" spans="1:14">
      <c r="A470" s="1">
        <v>45293</v>
      </c>
      <c r="B470" t="s">
        <v>35</v>
      </c>
      <c r="C470" t="s">
        <v>477</v>
      </c>
      <c r="D470" t="s">
        <v>22</v>
      </c>
      <c r="E470" t="s">
        <v>16</v>
      </c>
      <c r="F470" t="s">
        <v>31</v>
      </c>
      <c r="G470" t="s">
        <v>18</v>
      </c>
      <c r="H470" t="s">
        <v>28</v>
      </c>
      <c r="I470" t="s">
        <v>19</v>
      </c>
      <c r="J470">
        <v>9.6</v>
      </c>
      <c r="K470">
        <v>114</v>
      </c>
      <c r="L470" t="s">
        <v>25</v>
      </c>
      <c r="M470" t="str">
        <f t="shared" si="14"/>
        <v>Delayed</v>
      </c>
      <c r="N470" t="str">
        <f t="shared" si="15"/>
        <v>Mumbai → Chennai</v>
      </c>
    </row>
    <row r="471" spans="1:14">
      <c r="A471" s="1">
        <v>45344</v>
      </c>
      <c r="B471" t="s">
        <v>29</v>
      </c>
      <c r="C471" t="s">
        <v>478</v>
      </c>
      <c r="D471" t="s">
        <v>27</v>
      </c>
      <c r="E471" t="s">
        <v>40</v>
      </c>
      <c r="F471" t="s">
        <v>24</v>
      </c>
      <c r="G471" t="s">
        <v>18</v>
      </c>
      <c r="H471" t="s">
        <v>24</v>
      </c>
      <c r="I471" t="s">
        <v>19</v>
      </c>
      <c r="J471">
        <v>3.14</v>
      </c>
      <c r="K471">
        <v>9</v>
      </c>
      <c r="L471" t="s">
        <v>52</v>
      </c>
      <c r="M471" t="str">
        <f t="shared" si="14"/>
        <v>Delayed</v>
      </c>
      <c r="N471" t="str">
        <f t="shared" si="15"/>
        <v>Hyderabad → Kolkata</v>
      </c>
    </row>
    <row r="472" spans="1:14">
      <c r="A472" s="1">
        <v>45315</v>
      </c>
      <c r="B472" t="s">
        <v>35</v>
      </c>
      <c r="C472" t="s">
        <v>479</v>
      </c>
      <c r="D472" t="s">
        <v>22</v>
      </c>
      <c r="E472" t="s">
        <v>23</v>
      </c>
      <c r="F472" t="s">
        <v>28</v>
      </c>
      <c r="G472" t="s">
        <v>18</v>
      </c>
      <c r="H472" t="s">
        <v>28</v>
      </c>
      <c r="I472" t="s">
        <v>33</v>
      </c>
      <c r="J472">
        <v>9.2100000000000009</v>
      </c>
      <c r="K472">
        <v>0</v>
      </c>
      <c r="L472" t="s">
        <v>20</v>
      </c>
      <c r="M472" t="str">
        <f t="shared" si="14"/>
        <v>On Time</v>
      </c>
      <c r="N472" t="str">
        <f t="shared" si="15"/>
        <v>Mumbai → Bangalore</v>
      </c>
    </row>
    <row r="473" spans="1:14">
      <c r="A473" s="1">
        <v>45312</v>
      </c>
      <c r="B473" t="s">
        <v>38</v>
      </c>
      <c r="C473" t="s">
        <v>480</v>
      </c>
      <c r="D473" t="s">
        <v>22</v>
      </c>
      <c r="E473" t="s">
        <v>27</v>
      </c>
      <c r="F473" t="s">
        <v>24</v>
      </c>
      <c r="G473" t="s">
        <v>37</v>
      </c>
      <c r="H473" t="s">
        <v>31</v>
      </c>
      <c r="I473" t="s">
        <v>19</v>
      </c>
      <c r="J473">
        <v>9.69</v>
      </c>
      <c r="K473">
        <v>98</v>
      </c>
      <c r="L473" t="s">
        <v>25</v>
      </c>
      <c r="M473" t="str">
        <f t="shared" si="14"/>
        <v>Delayed</v>
      </c>
      <c r="N473" t="str">
        <f t="shared" si="15"/>
        <v>Mumbai → Hyderabad</v>
      </c>
    </row>
    <row r="474" spans="1:14">
      <c r="A474" s="1">
        <v>45313</v>
      </c>
      <c r="B474" t="s">
        <v>29</v>
      </c>
      <c r="C474" t="s">
        <v>481</v>
      </c>
      <c r="D474" t="s">
        <v>16</v>
      </c>
      <c r="E474" t="s">
        <v>27</v>
      </c>
      <c r="F474" t="s">
        <v>31</v>
      </c>
      <c r="G474" t="s">
        <v>18</v>
      </c>
      <c r="H474" t="s">
        <v>17</v>
      </c>
      <c r="I474" t="s">
        <v>33</v>
      </c>
      <c r="J474">
        <v>1.93</v>
      </c>
      <c r="K474">
        <v>11</v>
      </c>
      <c r="L474" t="s">
        <v>34</v>
      </c>
      <c r="M474" t="str">
        <f t="shared" si="14"/>
        <v>Delayed</v>
      </c>
      <c r="N474" t="str">
        <f t="shared" si="15"/>
        <v>Chennai → Hyderabad</v>
      </c>
    </row>
    <row r="475" spans="1:14">
      <c r="A475" s="1">
        <v>45328</v>
      </c>
      <c r="B475" t="s">
        <v>45</v>
      </c>
      <c r="C475" t="s">
        <v>454</v>
      </c>
      <c r="D475" t="s">
        <v>23</v>
      </c>
      <c r="E475" t="s">
        <v>40</v>
      </c>
      <c r="F475" t="s">
        <v>17</v>
      </c>
      <c r="G475" t="s">
        <v>18</v>
      </c>
      <c r="H475" t="s">
        <v>17</v>
      </c>
      <c r="I475" t="s">
        <v>33</v>
      </c>
      <c r="J475">
        <v>3.83</v>
      </c>
      <c r="K475">
        <v>0</v>
      </c>
      <c r="L475" t="s">
        <v>20</v>
      </c>
      <c r="M475" t="str">
        <f t="shared" si="14"/>
        <v>On Time</v>
      </c>
      <c r="N475" t="str">
        <f t="shared" si="15"/>
        <v>Bangalore → Kolkata</v>
      </c>
    </row>
    <row r="476" spans="1:14">
      <c r="A476" s="1">
        <v>45342</v>
      </c>
      <c r="B476" t="s">
        <v>38</v>
      </c>
      <c r="C476" t="s">
        <v>482</v>
      </c>
      <c r="D476" t="s">
        <v>22</v>
      </c>
      <c r="E476" t="s">
        <v>23</v>
      </c>
      <c r="F476" t="s">
        <v>28</v>
      </c>
      <c r="G476" t="s">
        <v>37</v>
      </c>
      <c r="H476" t="s">
        <v>31</v>
      </c>
      <c r="I476" t="s">
        <v>19</v>
      </c>
      <c r="J476">
        <v>2.39</v>
      </c>
      <c r="K476">
        <v>75</v>
      </c>
      <c r="L476" t="s">
        <v>52</v>
      </c>
      <c r="M476" t="str">
        <f t="shared" si="14"/>
        <v>Delayed</v>
      </c>
      <c r="N476" t="str">
        <f t="shared" si="15"/>
        <v>Mumbai → Bangalore</v>
      </c>
    </row>
    <row r="477" spans="1:14">
      <c r="A477" s="1">
        <v>45319</v>
      </c>
      <c r="B477" t="s">
        <v>45</v>
      </c>
      <c r="C477" t="s">
        <v>483</v>
      </c>
      <c r="D477" t="s">
        <v>22</v>
      </c>
      <c r="E477" t="s">
        <v>27</v>
      </c>
      <c r="F477" t="s">
        <v>24</v>
      </c>
      <c r="G477" t="s">
        <v>37</v>
      </c>
      <c r="H477" t="s">
        <v>17</v>
      </c>
      <c r="I477" t="s">
        <v>33</v>
      </c>
      <c r="J477">
        <v>7.39</v>
      </c>
      <c r="K477">
        <v>0</v>
      </c>
      <c r="L477" t="s">
        <v>20</v>
      </c>
      <c r="M477" t="str">
        <f t="shared" si="14"/>
        <v>On Time</v>
      </c>
      <c r="N477" t="str">
        <f t="shared" si="15"/>
        <v>Mumbai → Hyderabad</v>
      </c>
    </row>
    <row r="478" spans="1:14">
      <c r="A478" s="1">
        <v>45325</v>
      </c>
      <c r="B478" t="s">
        <v>45</v>
      </c>
      <c r="C478" t="s">
        <v>484</v>
      </c>
      <c r="D478" t="s">
        <v>22</v>
      </c>
      <c r="E478" t="s">
        <v>15</v>
      </c>
      <c r="F478" t="s">
        <v>28</v>
      </c>
      <c r="G478" t="s">
        <v>37</v>
      </c>
      <c r="H478" t="s">
        <v>32</v>
      </c>
      <c r="I478" t="s">
        <v>19</v>
      </c>
      <c r="J478">
        <v>5.34</v>
      </c>
      <c r="K478">
        <v>19</v>
      </c>
      <c r="L478" t="s">
        <v>52</v>
      </c>
      <c r="M478" t="str">
        <f t="shared" si="14"/>
        <v>Delayed</v>
      </c>
      <c r="N478" t="str">
        <f t="shared" si="15"/>
        <v>Mumbai → Delhi</v>
      </c>
    </row>
    <row r="479" spans="1:14">
      <c r="A479" s="1">
        <v>45312</v>
      </c>
      <c r="B479" t="s">
        <v>29</v>
      </c>
      <c r="C479" t="s">
        <v>485</v>
      </c>
      <c r="D479" t="s">
        <v>27</v>
      </c>
      <c r="E479" t="s">
        <v>15</v>
      </c>
      <c r="F479" t="s">
        <v>28</v>
      </c>
      <c r="G479" t="s">
        <v>37</v>
      </c>
      <c r="H479" t="s">
        <v>17</v>
      </c>
      <c r="I479" t="s">
        <v>33</v>
      </c>
      <c r="J479">
        <v>6.12</v>
      </c>
      <c r="K479">
        <v>0</v>
      </c>
      <c r="L479" t="s">
        <v>20</v>
      </c>
      <c r="M479" t="str">
        <f t="shared" si="14"/>
        <v>On Time</v>
      </c>
      <c r="N479" t="str">
        <f t="shared" si="15"/>
        <v>Hyderabad → Delhi</v>
      </c>
    </row>
    <row r="480" spans="1:14">
      <c r="A480" s="1">
        <v>45306</v>
      </c>
      <c r="B480" t="s">
        <v>45</v>
      </c>
      <c r="C480" t="s">
        <v>486</v>
      </c>
      <c r="D480" t="s">
        <v>40</v>
      </c>
      <c r="E480" t="s">
        <v>23</v>
      </c>
      <c r="F480" t="s">
        <v>17</v>
      </c>
      <c r="G480" t="s">
        <v>18</v>
      </c>
      <c r="H480" t="s">
        <v>31</v>
      </c>
      <c r="I480" t="s">
        <v>19</v>
      </c>
      <c r="J480">
        <v>10.62</v>
      </c>
      <c r="K480">
        <v>0</v>
      </c>
      <c r="L480" t="s">
        <v>20</v>
      </c>
      <c r="M480" t="str">
        <f t="shared" si="14"/>
        <v>On Time</v>
      </c>
      <c r="N480" t="str">
        <f t="shared" si="15"/>
        <v>Kolkata → Bangalore</v>
      </c>
    </row>
    <row r="481" spans="1:14">
      <c r="A481" s="1">
        <v>45310</v>
      </c>
      <c r="B481" t="s">
        <v>13</v>
      </c>
      <c r="C481" t="s">
        <v>487</v>
      </c>
      <c r="D481" t="s">
        <v>23</v>
      </c>
      <c r="E481" t="s">
        <v>15</v>
      </c>
      <c r="F481" t="s">
        <v>28</v>
      </c>
      <c r="G481" t="s">
        <v>37</v>
      </c>
      <c r="H481" t="s">
        <v>32</v>
      </c>
      <c r="I481" t="s">
        <v>19</v>
      </c>
      <c r="J481">
        <v>9.27</v>
      </c>
      <c r="K481">
        <v>0</v>
      </c>
      <c r="L481" t="s">
        <v>20</v>
      </c>
      <c r="M481" t="str">
        <f t="shared" si="14"/>
        <v>On Time</v>
      </c>
      <c r="N481" t="str">
        <f t="shared" si="15"/>
        <v>Bangalore → Delhi</v>
      </c>
    </row>
    <row r="482" spans="1:14">
      <c r="A482" s="1">
        <v>45305</v>
      </c>
      <c r="B482" t="s">
        <v>35</v>
      </c>
      <c r="C482" t="s">
        <v>106</v>
      </c>
      <c r="D482" t="s">
        <v>27</v>
      </c>
      <c r="E482" t="s">
        <v>23</v>
      </c>
      <c r="F482" t="s">
        <v>24</v>
      </c>
      <c r="G482" t="s">
        <v>18</v>
      </c>
      <c r="H482" t="s">
        <v>32</v>
      </c>
      <c r="I482" t="s">
        <v>19</v>
      </c>
      <c r="J482">
        <v>4.18</v>
      </c>
      <c r="K482">
        <v>0</v>
      </c>
      <c r="L482" t="s">
        <v>20</v>
      </c>
      <c r="M482" t="str">
        <f t="shared" si="14"/>
        <v>On Time</v>
      </c>
      <c r="N482" t="str">
        <f t="shared" si="15"/>
        <v>Hyderabad → Bangalore</v>
      </c>
    </row>
    <row r="483" spans="1:14">
      <c r="A483" s="1">
        <v>45310</v>
      </c>
      <c r="B483" t="s">
        <v>45</v>
      </c>
      <c r="C483" t="s">
        <v>488</v>
      </c>
      <c r="D483" t="s">
        <v>40</v>
      </c>
      <c r="E483" t="s">
        <v>27</v>
      </c>
      <c r="F483" t="s">
        <v>28</v>
      </c>
      <c r="G483" t="s">
        <v>37</v>
      </c>
      <c r="H483" t="s">
        <v>31</v>
      </c>
      <c r="I483" t="s">
        <v>19</v>
      </c>
      <c r="J483">
        <v>4.3499999999999996</v>
      </c>
      <c r="K483">
        <v>13</v>
      </c>
      <c r="L483" t="s">
        <v>34</v>
      </c>
      <c r="M483" t="str">
        <f t="shared" si="14"/>
        <v>Delayed</v>
      </c>
      <c r="N483" t="str">
        <f t="shared" si="15"/>
        <v>Kolkata → Hyderabad</v>
      </c>
    </row>
    <row r="484" spans="1:14">
      <c r="A484" s="1">
        <v>45350</v>
      </c>
      <c r="B484" t="s">
        <v>29</v>
      </c>
      <c r="C484" t="s">
        <v>489</v>
      </c>
      <c r="D484" t="s">
        <v>15</v>
      </c>
      <c r="E484" t="s">
        <v>22</v>
      </c>
      <c r="F484" t="s">
        <v>28</v>
      </c>
      <c r="G484" t="s">
        <v>18</v>
      </c>
      <c r="H484" t="s">
        <v>32</v>
      </c>
      <c r="I484" t="s">
        <v>33</v>
      </c>
      <c r="J484">
        <v>10.99</v>
      </c>
      <c r="K484">
        <v>0</v>
      </c>
      <c r="L484" t="s">
        <v>20</v>
      </c>
      <c r="M484" t="str">
        <f t="shared" si="14"/>
        <v>On Time</v>
      </c>
      <c r="N484" t="str">
        <f t="shared" si="15"/>
        <v>Delhi → Mumbai</v>
      </c>
    </row>
    <row r="485" spans="1:14">
      <c r="A485" s="1">
        <v>45347</v>
      </c>
      <c r="B485" t="s">
        <v>35</v>
      </c>
      <c r="C485" t="s">
        <v>490</v>
      </c>
      <c r="D485" t="s">
        <v>27</v>
      </c>
      <c r="E485" t="s">
        <v>15</v>
      </c>
      <c r="F485" t="s">
        <v>17</v>
      </c>
      <c r="G485" t="s">
        <v>37</v>
      </c>
      <c r="H485" t="s">
        <v>17</v>
      </c>
      <c r="I485" t="s">
        <v>19</v>
      </c>
      <c r="J485">
        <v>11.18</v>
      </c>
      <c r="K485">
        <v>0</v>
      </c>
      <c r="L485" t="s">
        <v>20</v>
      </c>
      <c r="M485" t="str">
        <f t="shared" si="14"/>
        <v>On Time</v>
      </c>
      <c r="N485" t="str">
        <f t="shared" si="15"/>
        <v>Hyderabad → Delhi</v>
      </c>
    </row>
    <row r="486" spans="1:14">
      <c r="A486" s="1">
        <v>45313</v>
      </c>
      <c r="B486" t="s">
        <v>38</v>
      </c>
      <c r="C486" t="s">
        <v>482</v>
      </c>
      <c r="D486" t="s">
        <v>16</v>
      </c>
      <c r="E486" t="s">
        <v>22</v>
      </c>
      <c r="F486" t="s">
        <v>31</v>
      </c>
      <c r="G486" t="s">
        <v>37</v>
      </c>
      <c r="H486" t="s">
        <v>28</v>
      </c>
      <c r="I486" t="s">
        <v>33</v>
      </c>
      <c r="J486">
        <v>11.96</v>
      </c>
      <c r="K486">
        <v>85</v>
      </c>
      <c r="L486" t="s">
        <v>25</v>
      </c>
      <c r="M486" t="str">
        <f t="shared" si="14"/>
        <v>Delayed</v>
      </c>
      <c r="N486" t="str">
        <f t="shared" si="15"/>
        <v>Chennai → Mumbai</v>
      </c>
    </row>
    <row r="487" spans="1:14">
      <c r="A487" s="1">
        <v>45309</v>
      </c>
      <c r="B487" t="s">
        <v>13</v>
      </c>
      <c r="C487" t="s">
        <v>491</v>
      </c>
      <c r="D487" t="s">
        <v>40</v>
      </c>
      <c r="E487" t="s">
        <v>23</v>
      </c>
      <c r="F487" t="s">
        <v>32</v>
      </c>
      <c r="G487" t="s">
        <v>37</v>
      </c>
      <c r="H487" t="s">
        <v>31</v>
      </c>
      <c r="I487" t="s">
        <v>19</v>
      </c>
      <c r="J487">
        <v>8.4</v>
      </c>
      <c r="K487">
        <v>24</v>
      </c>
      <c r="L487" t="s">
        <v>52</v>
      </c>
      <c r="M487" t="str">
        <f t="shared" si="14"/>
        <v>Delayed</v>
      </c>
      <c r="N487" t="str">
        <f t="shared" si="15"/>
        <v>Kolkata → Bangalore</v>
      </c>
    </row>
    <row r="488" spans="1:14">
      <c r="A488" s="1">
        <v>45338</v>
      </c>
      <c r="B488" t="s">
        <v>38</v>
      </c>
      <c r="C488" t="s">
        <v>492</v>
      </c>
      <c r="D488" t="s">
        <v>27</v>
      </c>
      <c r="E488" t="s">
        <v>40</v>
      </c>
      <c r="F488" t="s">
        <v>17</v>
      </c>
      <c r="G488" t="s">
        <v>18</v>
      </c>
      <c r="H488" t="s">
        <v>32</v>
      </c>
      <c r="I488" t="s">
        <v>19</v>
      </c>
      <c r="J488">
        <v>4.96</v>
      </c>
      <c r="K488">
        <v>59</v>
      </c>
      <c r="L488" t="s">
        <v>34</v>
      </c>
      <c r="M488" t="str">
        <f t="shared" si="14"/>
        <v>Delayed</v>
      </c>
      <c r="N488" t="str">
        <f t="shared" si="15"/>
        <v>Hyderabad → Kolkata</v>
      </c>
    </row>
    <row r="489" spans="1:14">
      <c r="A489" s="1">
        <v>45300</v>
      </c>
      <c r="B489" t="s">
        <v>45</v>
      </c>
      <c r="C489" t="s">
        <v>309</v>
      </c>
      <c r="D489" t="s">
        <v>40</v>
      </c>
      <c r="E489" t="s">
        <v>22</v>
      </c>
      <c r="F489" t="s">
        <v>24</v>
      </c>
      <c r="G489" t="s">
        <v>18</v>
      </c>
      <c r="H489" t="s">
        <v>24</v>
      </c>
      <c r="I489" t="s">
        <v>19</v>
      </c>
      <c r="J489">
        <v>6.02</v>
      </c>
      <c r="K489">
        <v>0</v>
      </c>
      <c r="L489" t="s">
        <v>20</v>
      </c>
      <c r="M489" t="str">
        <f t="shared" si="14"/>
        <v>On Time</v>
      </c>
      <c r="N489" t="str">
        <f t="shared" si="15"/>
        <v>Kolkata → Mumbai</v>
      </c>
    </row>
    <row r="490" spans="1:14">
      <c r="A490" s="1">
        <v>45301</v>
      </c>
      <c r="B490" t="s">
        <v>35</v>
      </c>
      <c r="C490" t="s">
        <v>493</v>
      </c>
      <c r="D490" t="s">
        <v>22</v>
      </c>
      <c r="E490" t="s">
        <v>16</v>
      </c>
      <c r="F490" t="s">
        <v>31</v>
      </c>
      <c r="G490" t="s">
        <v>18</v>
      </c>
      <c r="H490" t="s">
        <v>24</v>
      </c>
      <c r="I490" t="s">
        <v>19</v>
      </c>
      <c r="J490">
        <v>9.1300000000000008</v>
      </c>
      <c r="K490">
        <v>0</v>
      </c>
      <c r="L490" t="s">
        <v>20</v>
      </c>
      <c r="M490" t="str">
        <f t="shared" si="14"/>
        <v>On Time</v>
      </c>
      <c r="N490" t="str">
        <f t="shared" si="15"/>
        <v>Mumbai → Chennai</v>
      </c>
    </row>
    <row r="491" spans="1:14">
      <c r="A491" s="1">
        <v>45312</v>
      </c>
      <c r="B491" t="s">
        <v>38</v>
      </c>
      <c r="C491" t="s">
        <v>494</v>
      </c>
      <c r="D491" t="s">
        <v>16</v>
      </c>
      <c r="E491" t="s">
        <v>23</v>
      </c>
      <c r="F491" t="s">
        <v>32</v>
      </c>
      <c r="G491" t="s">
        <v>18</v>
      </c>
      <c r="H491" t="s">
        <v>28</v>
      </c>
      <c r="I491" t="s">
        <v>19</v>
      </c>
      <c r="J491">
        <v>3.44</v>
      </c>
      <c r="K491">
        <v>0</v>
      </c>
      <c r="L491" t="s">
        <v>20</v>
      </c>
      <c r="M491" t="str">
        <f t="shared" si="14"/>
        <v>On Time</v>
      </c>
      <c r="N491" t="str">
        <f t="shared" si="15"/>
        <v>Chennai → Bangalore</v>
      </c>
    </row>
    <row r="492" spans="1:14">
      <c r="A492" s="1">
        <v>45331</v>
      </c>
      <c r="B492" t="s">
        <v>35</v>
      </c>
      <c r="C492" t="s">
        <v>495</v>
      </c>
      <c r="D492" t="s">
        <v>23</v>
      </c>
      <c r="E492" t="s">
        <v>40</v>
      </c>
      <c r="F492" t="s">
        <v>24</v>
      </c>
      <c r="G492" t="s">
        <v>18</v>
      </c>
      <c r="H492" t="s">
        <v>24</v>
      </c>
      <c r="I492" t="s">
        <v>19</v>
      </c>
      <c r="J492">
        <v>5.27</v>
      </c>
      <c r="K492">
        <v>0</v>
      </c>
      <c r="L492" t="s">
        <v>20</v>
      </c>
      <c r="M492" t="str">
        <f t="shared" si="14"/>
        <v>On Time</v>
      </c>
      <c r="N492" t="str">
        <f t="shared" si="15"/>
        <v>Bangalore → Kolkata</v>
      </c>
    </row>
    <row r="493" spans="1:14">
      <c r="A493" s="1">
        <v>45341</v>
      </c>
      <c r="B493" t="s">
        <v>38</v>
      </c>
      <c r="C493" t="s">
        <v>496</v>
      </c>
      <c r="D493" t="s">
        <v>22</v>
      </c>
      <c r="E493" t="s">
        <v>40</v>
      </c>
      <c r="F493" t="s">
        <v>24</v>
      </c>
      <c r="G493" t="s">
        <v>37</v>
      </c>
      <c r="H493" t="s">
        <v>32</v>
      </c>
      <c r="I493" t="s">
        <v>19</v>
      </c>
      <c r="J493">
        <v>6.48</v>
      </c>
      <c r="K493">
        <v>114</v>
      </c>
      <c r="L493" t="s">
        <v>52</v>
      </c>
      <c r="M493" t="str">
        <f t="shared" si="14"/>
        <v>Delayed</v>
      </c>
      <c r="N493" t="str">
        <f t="shared" si="15"/>
        <v>Mumbai → Kolkata</v>
      </c>
    </row>
    <row r="494" spans="1:14">
      <c r="A494" s="1">
        <v>45304</v>
      </c>
      <c r="B494" t="s">
        <v>45</v>
      </c>
      <c r="C494" t="s">
        <v>497</v>
      </c>
      <c r="D494" t="s">
        <v>15</v>
      </c>
      <c r="E494" t="s">
        <v>27</v>
      </c>
      <c r="F494" t="s">
        <v>31</v>
      </c>
      <c r="G494" t="s">
        <v>37</v>
      </c>
      <c r="H494" t="s">
        <v>28</v>
      </c>
      <c r="I494" t="s">
        <v>19</v>
      </c>
      <c r="J494">
        <v>9.4600000000000009</v>
      </c>
      <c r="K494">
        <v>0</v>
      </c>
      <c r="L494" t="s">
        <v>20</v>
      </c>
      <c r="M494" t="str">
        <f t="shared" si="14"/>
        <v>On Time</v>
      </c>
      <c r="N494" t="str">
        <f t="shared" si="15"/>
        <v>Delhi → Hyderabad</v>
      </c>
    </row>
    <row r="495" spans="1:14">
      <c r="A495" s="1">
        <v>45303</v>
      </c>
      <c r="B495" t="s">
        <v>38</v>
      </c>
      <c r="C495" t="s">
        <v>498</v>
      </c>
      <c r="D495" t="s">
        <v>27</v>
      </c>
      <c r="E495" t="s">
        <v>16</v>
      </c>
      <c r="F495" t="s">
        <v>28</v>
      </c>
      <c r="G495" t="s">
        <v>18</v>
      </c>
      <c r="H495" t="s">
        <v>32</v>
      </c>
      <c r="I495" t="s">
        <v>33</v>
      </c>
      <c r="J495">
        <v>7.88</v>
      </c>
      <c r="K495">
        <v>0</v>
      </c>
      <c r="L495" t="s">
        <v>20</v>
      </c>
      <c r="M495" t="str">
        <f t="shared" si="14"/>
        <v>On Time</v>
      </c>
      <c r="N495" t="str">
        <f t="shared" si="15"/>
        <v>Hyderabad → Chennai</v>
      </c>
    </row>
    <row r="496" spans="1:14">
      <c r="A496" s="1">
        <v>45316</v>
      </c>
      <c r="B496" t="s">
        <v>29</v>
      </c>
      <c r="C496" t="s">
        <v>499</v>
      </c>
      <c r="D496" t="s">
        <v>16</v>
      </c>
      <c r="E496" t="s">
        <v>40</v>
      </c>
      <c r="F496" t="s">
        <v>24</v>
      </c>
      <c r="G496" t="s">
        <v>18</v>
      </c>
      <c r="H496" t="s">
        <v>24</v>
      </c>
      <c r="I496" t="s">
        <v>19</v>
      </c>
      <c r="J496">
        <v>10.72</v>
      </c>
      <c r="K496">
        <v>62</v>
      </c>
      <c r="L496" t="s">
        <v>25</v>
      </c>
      <c r="M496" t="str">
        <f t="shared" si="14"/>
        <v>Delayed</v>
      </c>
      <c r="N496" t="str">
        <f t="shared" si="15"/>
        <v>Chennai → Kolkata</v>
      </c>
    </row>
    <row r="497" spans="1:14">
      <c r="A497" s="1">
        <v>45325</v>
      </c>
      <c r="B497" t="s">
        <v>35</v>
      </c>
      <c r="C497" t="s">
        <v>500</v>
      </c>
      <c r="D497" t="s">
        <v>16</v>
      </c>
      <c r="E497" t="s">
        <v>15</v>
      </c>
      <c r="F497" t="s">
        <v>24</v>
      </c>
      <c r="G497" t="s">
        <v>18</v>
      </c>
      <c r="H497" t="s">
        <v>32</v>
      </c>
      <c r="I497" t="s">
        <v>19</v>
      </c>
      <c r="J497">
        <v>10.79</v>
      </c>
      <c r="K497">
        <v>42</v>
      </c>
      <c r="L497" t="s">
        <v>52</v>
      </c>
      <c r="M497" t="str">
        <f t="shared" si="14"/>
        <v>Delayed</v>
      </c>
      <c r="N497" t="str">
        <f t="shared" si="15"/>
        <v>Chennai → Delhi</v>
      </c>
    </row>
    <row r="498" spans="1:14">
      <c r="A498" s="1">
        <v>45344</v>
      </c>
      <c r="B498" t="s">
        <v>29</v>
      </c>
      <c r="C498" t="s">
        <v>501</v>
      </c>
      <c r="D498" t="s">
        <v>16</v>
      </c>
      <c r="E498" t="s">
        <v>22</v>
      </c>
      <c r="F498" t="s">
        <v>32</v>
      </c>
      <c r="G498" t="s">
        <v>18</v>
      </c>
      <c r="H498" t="s">
        <v>28</v>
      </c>
      <c r="I498" t="s">
        <v>19</v>
      </c>
      <c r="J498">
        <v>9.09</v>
      </c>
      <c r="K498">
        <v>64</v>
      </c>
      <c r="L498" t="s">
        <v>25</v>
      </c>
      <c r="M498" t="str">
        <f t="shared" si="14"/>
        <v>Delayed</v>
      </c>
      <c r="N498" t="str">
        <f t="shared" si="15"/>
        <v>Chennai → Mumbai</v>
      </c>
    </row>
    <row r="499" spans="1:14">
      <c r="A499" s="1">
        <v>45303</v>
      </c>
      <c r="B499" t="s">
        <v>35</v>
      </c>
      <c r="C499" t="s">
        <v>502</v>
      </c>
      <c r="D499" t="s">
        <v>40</v>
      </c>
      <c r="E499" t="s">
        <v>27</v>
      </c>
      <c r="F499" t="s">
        <v>17</v>
      </c>
      <c r="G499" t="s">
        <v>37</v>
      </c>
      <c r="H499" t="s">
        <v>32</v>
      </c>
      <c r="I499" t="s">
        <v>33</v>
      </c>
      <c r="J499">
        <v>3.38</v>
      </c>
      <c r="K499">
        <v>0</v>
      </c>
      <c r="L499" t="s">
        <v>20</v>
      </c>
      <c r="M499" t="str">
        <f t="shared" si="14"/>
        <v>On Time</v>
      </c>
      <c r="N499" t="str">
        <f t="shared" si="15"/>
        <v>Kolkata → Hyderabad</v>
      </c>
    </row>
    <row r="500" spans="1:14">
      <c r="A500" s="1">
        <v>45349</v>
      </c>
      <c r="B500" t="s">
        <v>45</v>
      </c>
      <c r="C500" t="s">
        <v>503</v>
      </c>
      <c r="D500" t="s">
        <v>16</v>
      </c>
      <c r="E500" t="s">
        <v>15</v>
      </c>
      <c r="F500" t="s">
        <v>28</v>
      </c>
      <c r="G500" t="s">
        <v>18</v>
      </c>
      <c r="H500" t="s">
        <v>28</v>
      </c>
      <c r="I500" t="s">
        <v>19</v>
      </c>
      <c r="J500">
        <v>8.92</v>
      </c>
      <c r="K500">
        <v>0</v>
      </c>
      <c r="L500" t="s">
        <v>20</v>
      </c>
      <c r="M500" t="str">
        <f t="shared" si="14"/>
        <v>On Time</v>
      </c>
      <c r="N500" t="str">
        <f t="shared" si="15"/>
        <v>Chennai → Delhi</v>
      </c>
    </row>
    <row r="501" spans="1:14">
      <c r="A501" s="1">
        <v>45315</v>
      </c>
      <c r="B501" t="s">
        <v>13</v>
      </c>
      <c r="C501" t="s">
        <v>504</v>
      </c>
      <c r="D501" t="s">
        <v>27</v>
      </c>
      <c r="E501" t="s">
        <v>16</v>
      </c>
      <c r="F501" t="s">
        <v>24</v>
      </c>
      <c r="G501" t="s">
        <v>18</v>
      </c>
      <c r="H501" t="s">
        <v>24</v>
      </c>
      <c r="I501" t="s">
        <v>33</v>
      </c>
      <c r="J501">
        <v>9.57</v>
      </c>
      <c r="K501">
        <v>75</v>
      </c>
      <c r="L501" t="s">
        <v>25</v>
      </c>
      <c r="M501" t="str">
        <f t="shared" si="14"/>
        <v>Delayed</v>
      </c>
      <c r="N501" t="str">
        <f t="shared" si="15"/>
        <v>Hyderabad → Chennai</v>
      </c>
    </row>
    <row r="502" spans="1:14">
      <c r="A502" s="1">
        <v>45328</v>
      </c>
      <c r="B502" t="s">
        <v>45</v>
      </c>
      <c r="C502" t="s">
        <v>505</v>
      </c>
      <c r="D502" t="s">
        <v>22</v>
      </c>
      <c r="E502" t="s">
        <v>23</v>
      </c>
      <c r="F502" t="s">
        <v>17</v>
      </c>
      <c r="G502" t="s">
        <v>37</v>
      </c>
      <c r="H502" t="s">
        <v>31</v>
      </c>
      <c r="I502" t="s">
        <v>33</v>
      </c>
      <c r="J502">
        <v>8.08</v>
      </c>
      <c r="K502">
        <v>44</v>
      </c>
      <c r="L502" t="s">
        <v>52</v>
      </c>
      <c r="M502" t="str">
        <f t="shared" si="14"/>
        <v>Delayed</v>
      </c>
      <c r="N502" t="str">
        <f t="shared" si="15"/>
        <v>Mumbai → Bangalore</v>
      </c>
    </row>
    <row r="503" spans="1:14">
      <c r="A503" s="1">
        <v>45349</v>
      </c>
      <c r="B503" t="s">
        <v>45</v>
      </c>
      <c r="C503" t="s">
        <v>506</v>
      </c>
      <c r="D503" t="s">
        <v>22</v>
      </c>
      <c r="E503" t="s">
        <v>15</v>
      </c>
      <c r="F503" t="s">
        <v>24</v>
      </c>
      <c r="G503" t="s">
        <v>18</v>
      </c>
      <c r="H503" t="s">
        <v>28</v>
      </c>
      <c r="I503" t="s">
        <v>33</v>
      </c>
      <c r="J503">
        <v>9.98</v>
      </c>
      <c r="K503">
        <v>68</v>
      </c>
      <c r="L503" t="s">
        <v>34</v>
      </c>
      <c r="M503" t="str">
        <f t="shared" si="14"/>
        <v>Delayed</v>
      </c>
      <c r="N503" t="str">
        <f t="shared" si="15"/>
        <v>Mumbai → Delhi</v>
      </c>
    </row>
    <row r="504" spans="1:14">
      <c r="A504" s="1">
        <v>45348</v>
      </c>
      <c r="B504" t="s">
        <v>38</v>
      </c>
      <c r="C504" t="s">
        <v>507</v>
      </c>
      <c r="D504" t="s">
        <v>22</v>
      </c>
      <c r="E504" t="s">
        <v>23</v>
      </c>
      <c r="F504" t="s">
        <v>24</v>
      </c>
      <c r="G504" t="s">
        <v>37</v>
      </c>
      <c r="H504" t="s">
        <v>32</v>
      </c>
      <c r="I504" t="s">
        <v>33</v>
      </c>
      <c r="J504">
        <v>7.81</v>
      </c>
      <c r="K504">
        <v>0</v>
      </c>
      <c r="L504" t="s">
        <v>20</v>
      </c>
      <c r="M504" t="str">
        <f t="shared" si="14"/>
        <v>On Time</v>
      </c>
      <c r="N504" t="str">
        <f t="shared" si="15"/>
        <v>Mumbai → Bangalore</v>
      </c>
    </row>
    <row r="505" spans="1:14">
      <c r="A505" s="1">
        <v>45307</v>
      </c>
      <c r="B505" t="s">
        <v>35</v>
      </c>
      <c r="C505" t="s">
        <v>508</v>
      </c>
      <c r="D505" t="s">
        <v>23</v>
      </c>
      <c r="E505" t="s">
        <v>40</v>
      </c>
      <c r="F505" t="s">
        <v>24</v>
      </c>
      <c r="G505" t="s">
        <v>18</v>
      </c>
      <c r="H505" t="s">
        <v>17</v>
      </c>
      <c r="I505" t="s">
        <v>19</v>
      </c>
      <c r="J505">
        <v>8.36</v>
      </c>
      <c r="K505">
        <v>0</v>
      </c>
      <c r="L505" t="s">
        <v>20</v>
      </c>
      <c r="M505" t="str">
        <f t="shared" si="14"/>
        <v>On Time</v>
      </c>
      <c r="N505" t="str">
        <f t="shared" si="15"/>
        <v>Bangalore → Kolkata</v>
      </c>
    </row>
    <row r="506" spans="1:14">
      <c r="A506" s="1">
        <v>45301</v>
      </c>
      <c r="B506" t="s">
        <v>13</v>
      </c>
      <c r="C506" t="s">
        <v>509</v>
      </c>
      <c r="D506" t="s">
        <v>40</v>
      </c>
      <c r="E506" t="s">
        <v>27</v>
      </c>
      <c r="F506" t="s">
        <v>24</v>
      </c>
      <c r="G506" t="s">
        <v>37</v>
      </c>
      <c r="H506" t="s">
        <v>28</v>
      </c>
      <c r="I506" t="s">
        <v>19</v>
      </c>
      <c r="J506">
        <v>5.88</v>
      </c>
      <c r="K506">
        <v>0</v>
      </c>
      <c r="L506" t="s">
        <v>20</v>
      </c>
      <c r="M506" t="str">
        <f t="shared" si="14"/>
        <v>On Time</v>
      </c>
      <c r="N506" t="str">
        <f t="shared" si="15"/>
        <v>Kolkata → Hyderabad</v>
      </c>
    </row>
    <row r="507" spans="1:14">
      <c r="A507" s="1">
        <v>45302</v>
      </c>
      <c r="B507" t="s">
        <v>29</v>
      </c>
      <c r="C507" t="s">
        <v>510</v>
      </c>
      <c r="D507" t="s">
        <v>27</v>
      </c>
      <c r="E507" t="s">
        <v>40</v>
      </c>
      <c r="F507" t="s">
        <v>24</v>
      </c>
      <c r="G507" t="s">
        <v>18</v>
      </c>
      <c r="H507" t="s">
        <v>24</v>
      </c>
      <c r="I507" t="s">
        <v>33</v>
      </c>
      <c r="J507">
        <v>2.48</v>
      </c>
      <c r="K507">
        <v>100</v>
      </c>
      <c r="L507" t="s">
        <v>25</v>
      </c>
      <c r="M507" t="str">
        <f t="shared" si="14"/>
        <v>Delayed</v>
      </c>
      <c r="N507" t="str">
        <f t="shared" si="15"/>
        <v>Hyderabad → Kolkata</v>
      </c>
    </row>
    <row r="508" spans="1:14">
      <c r="A508" s="1">
        <v>45312</v>
      </c>
      <c r="B508" t="s">
        <v>29</v>
      </c>
      <c r="C508" t="s">
        <v>511</v>
      </c>
      <c r="D508" t="s">
        <v>16</v>
      </c>
      <c r="E508" t="s">
        <v>15</v>
      </c>
      <c r="F508" t="s">
        <v>32</v>
      </c>
      <c r="G508" t="s">
        <v>18</v>
      </c>
      <c r="H508" t="s">
        <v>24</v>
      </c>
      <c r="I508" t="s">
        <v>33</v>
      </c>
      <c r="J508">
        <v>2.78</v>
      </c>
      <c r="K508">
        <v>0</v>
      </c>
      <c r="L508" t="s">
        <v>20</v>
      </c>
      <c r="M508" t="str">
        <f t="shared" si="14"/>
        <v>On Time</v>
      </c>
      <c r="N508" t="str">
        <f t="shared" si="15"/>
        <v>Chennai → Delhi</v>
      </c>
    </row>
    <row r="509" spans="1:14">
      <c r="A509" s="1">
        <v>45309</v>
      </c>
      <c r="B509" t="s">
        <v>29</v>
      </c>
      <c r="C509" t="s">
        <v>512</v>
      </c>
      <c r="D509" t="s">
        <v>27</v>
      </c>
      <c r="E509" t="s">
        <v>16</v>
      </c>
      <c r="F509" t="s">
        <v>24</v>
      </c>
      <c r="G509" t="s">
        <v>18</v>
      </c>
      <c r="H509" t="s">
        <v>17</v>
      </c>
      <c r="I509" t="s">
        <v>19</v>
      </c>
      <c r="J509">
        <v>6.58</v>
      </c>
      <c r="K509">
        <v>0</v>
      </c>
      <c r="L509" t="s">
        <v>20</v>
      </c>
      <c r="M509" t="str">
        <f t="shared" si="14"/>
        <v>On Time</v>
      </c>
      <c r="N509" t="str">
        <f t="shared" si="15"/>
        <v>Hyderabad → Chennai</v>
      </c>
    </row>
    <row r="510" spans="1:14">
      <c r="A510" s="1">
        <v>45330</v>
      </c>
      <c r="B510" t="s">
        <v>29</v>
      </c>
      <c r="C510" t="s">
        <v>513</v>
      </c>
      <c r="D510" t="s">
        <v>16</v>
      </c>
      <c r="E510" t="s">
        <v>40</v>
      </c>
      <c r="F510" t="s">
        <v>28</v>
      </c>
      <c r="G510" t="s">
        <v>37</v>
      </c>
      <c r="H510" t="s">
        <v>28</v>
      </c>
      <c r="I510" t="s">
        <v>19</v>
      </c>
      <c r="J510">
        <v>9.16</v>
      </c>
      <c r="K510">
        <v>83</v>
      </c>
      <c r="L510" t="s">
        <v>34</v>
      </c>
      <c r="M510" t="str">
        <f t="shared" si="14"/>
        <v>Delayed</v>
      </c>
      <c r="N510" t="str">
        <f t="shared" si="15"/>
        <v>Chennai → Kolkata</v>
      </c>
    </row>
    <row r="511" spans="1:14">
      <c r="A511" s="1">
        <v>45323</v>
      </c>
      <c r="B511" t="s">
        <v>45</v>
      </c>
      <c r="C511" t="s">
        <v>514</v>
      </c>
      <c r="D511" t="s">
        <v>27</v>
      </c>
      <c r="E511" t="s">
        <v>22</v>
      </c>
      <c r="F511" t="s">
        <v>28</v>
      </c>
      <c r="G511" t="s">
        <v>18</v>
      </c>
      <c r="H511" t="s">
        <v>17</v>
      </c>
      <c r="I511" t="s">
        <v>19</v>
      </c>
      <c r="J511">
        <v>9.8699999999999992</v>
      </c>
      <c r="K511">
        <v>8</v>
      </c>
      <c r="L511" t="s">
        <v>34</v>
      </c>
      <c r="M511" t="str">
        <f t="shared" si="14"/>
        <v>Delayed</v>
      </c>
      <c r="N511" t="str">
        <f t="shared" si="15"/>
        <v>Hyderabad → Mumbai</v>
      </c>
    </row>
    <row r="512" spans="1:14">
      <c r="A512" s="1">
        <v>45346</v>
      </c>
      <c r="B512" t="s">
        <v>45</v>
      </c>
      <c r="C512" t="s">
        <v>213</v>
      </c>
      <c r="D512" t="s">
        <v>27</v>
      </c>
      <c r="E512" t="s">
        <v>16</v>
      </c>
      <c r="F512" t="s">
        <v>32</v>
      </c>
      <c r="G512" t="s">
        <v>37</v>
      </c>
      <c r="H512" t="s">
        <v>31</v>
      </c>
      <c r="I512" t="s">
        <v>33</v>
      </c>
      <c r="J512">
        <v>1.62</v>
      </c>
      <c r="K512">
        <v>0</v>
      </c>
      <c r="L512" t="s">
        <v>20</v>
      </c>
      <c r="M512" t="str">
        <f t="shared" si="14"/>
        <v>On Time</v>
      </c>
      <c r="N512" t="str">
        <f t="shared" si="15"/>
        <v>Hyderabad → Chennai</v>
      </c>
    </row>
    <row r="513" spans="1:14">
      <c r="A513" s="1">
        <v>45336</v>
      </c>
      <c r="B513" t="s">
        <v>29</v>
      </c>
      <c r="C513" t="s">
        <v>515</v>
      </c>
      <c r="D513" t="s">
        <v>23</v>
      </c>
      <c r="E513" t="s">
        <v>15</v>
      </c>
      <c r="F513" t="s">
        <v>28</v>
      </c>
      <c r="G513" t="s">
        <v>37</v>
      </c>
      <c r="H513" t="s">
        <v>28</v>
      </c>
      <c r="I513" t="s">
        <v>19</v>
      </c>
      <c r="J513">
        <v>5.66</v>
      </c>
      <c r="K513">
        <v>19</v>
      </c>
      <c r="L513" t="s">
        <v>52</v>
      </c>
      <c r="M513" t="str">
        <f t="shared" si="14"/>
        <v>Delayed</v>
      </c>
      <c r="N513" t="str">
        <f t="shared" si="15"/>
        <v>Bangalore → Delhi</v>
      </c>
    </row>
    <row r="514" spans="1:14">
      <c r="A514" s="1">
        <v>45331</v>
      </c>
      <c r="B514" t="s">
        <v>13</v>
      </c>
      <c r="C514" t="s">
        <v>516</v>
      </c>
      <c r="D514" t="s">
        <v>22</v>
      </c>
      <c r="E514" t="s">
        <v>23</v>
      </c>
      <c r="F514" t="s">
        <v>28</v>
      </c>
      <c r="G514" t="s">
        <v>37</v>
      </c>
      <c r="H514" t="s">
        <v>28</v>
      </c>
      <c r="I514" t="s">
        <v>33</v>
      </c>
      <c r="J514">
        <v>8.2799999999999994</v>
      </c>
      <c r="K514">
        <v>0</v>
      </c>
      <c r="L514" t="s">
        <v>20</v>
      </c>
      <c r="M514" t="str">
        <f t="shared" ref="M514:M577" si="16">IF(K514=0,"On Time","Delayed")</f>
        <v>On Time</v>
      </c>
      <c r="N514" t="str">
        <f t="shared" ref="N514:N577" si="17">D514 &amp; " → " &amp; E514</f>
        <v>Mumbai → Bangalore</v>
      </c>
    </row>
    <row r="515" spans="1:14">
      <c r="A515" s="1">
        <v>45301</v>
      </c>
      <c r="B515" t="s">
        <v>38</v>
      </c>
      <c r="C515" t="s">
        <v>517</v>
      </c>
      <c r="D515" t="s">
        <v>27</v>
      </c>
      <c r="E515" t="s">
        <v>23</v>
      </c>
      <c r="F515" t="s">
        <v>32</v>
      </c>
      <c r="G515" t="s">
        <v>18</v>
      </c>
      <c r="H515" t="s">
        <v>32</v>
      </c>
      <c r="I515" t="s">
        <v>33</v>
      </c>
      <c r="J515">
        <v>7.13</v>
      </c>
      <c r="K515">
        <v>77</v>
      </c>
      <c r="L515" t="s">
        <v>34</v>
      </c>
      <c r="M515" t="str">
        <f t="shared" si="16"/>
        <v>Delayed</v>
      </c>
      <c r="N515" t="str">
        <f t="shared" si="17"/>
        <v>Hyderabad → Bangalore</v>
      </c>
    </row>
    <row r="516" spans="1:14">
      <c r="A516" s="1">
        <v>45328</v>
      </c>
      <c r="B516" t="s">
        <v>29</v>
      </c>
      <c r="C516" t="s">
        <v>518</v>
      </c>
      <c r="D516" t="s">
        <v>23</v>
      </c>
      <c r="E516" t="s">
        <v>15</v>
      </c>
      <c r="F516" t="s">
        <v>17</v>
      </c>
      <c r="G516" t="s">
        <v>18</v>
      </c>
      <c r="H516" t="s">
        <v>28</v>
      </c>
      <c r="I516" t="s">
        <v>33</v>
      </c>
      <c r="J516">
        <v>7.5</v>
      </c>
      <c r="K516">
        <v>0</v>
      </c>
      <c r="L516" t="s">
        <v>20</v>
      </c>
      <c r="M516" t="str">
        <f t="shared" si="16"/>
        <v>On Time</v>
      </c>
      <c r="N516" t="str">
        <f t="shared" si="17"/>
        <v>Bangalore → Delhi</v>
      </c>
    </row>
    <row r="517" spans="1:14">
      <c r="A517" s="1">
        <v>45303</v>
      </c>
      <c r="B517" t="s">
        <v>35</v>
      </c>
      <c r="C517" t="s">
        <v>519</v>
      </c>
      <c r="D517" t="s">
        <v>15</v>
      </c>
      <c r="E517" t="s">
        <v>16</v>
      </c>
      <c r="F517" t="s">
        <v>28</v>
      </c>
      <c r="G517" t="s">
        <v>37</v>
      </c>
      <c r="H517" t="s">
        <v>31</v>
      </c>
      <c r="I517" t="s">
        <v>33</v>
      </c>
      <c r="J517">
        <v>5.4</v>
      </c>
      <c r="K517">
        <v>16</v>
      </c>
      <c r="L517" t="s">
        <v>25</v>
      </c>
      <c r="M517" t="str">
        <f t="shared" si="16"/>
        <v>Delayed</v>
      </c>
      <c r="N517" t="str">
        <f t="shared" si="17"/>
        <v>Delhi → Chennai</v>
      </c>
    </row>
    <row r="518" spans="1:14">
      <c r="A518" s="1">
        <v>45352</v>
      </c>
      <c r="B518" t="s">
        <v>29</v>
      </c>
      <c r="C518" t="s">
        <v>520</v>
      </c>
      <c r="D518" t="s">
        <v>22</v>
      </c>
      <c r="E518" t="s">
        <v>40</v>
      </c>
      <c r="F518" t="s">
        <v>28</v>
      </c>
      <c r="G518" t="s">
        <v>18</v>
      </c>
      <c r="H518" t="s">
        <v>17</v>
      </c>
      <c r="I518" t="s">
        <v>33</v>
      </c>
      <c r="J518">
        <v>9.67</v>
      </c>
      <c r="K518">
        <v>0</v>
      </c>
      <c r="L518" t="s">
        <v>20</v>
      </c>
      <c r="M518" t="str">
        <f t="shared" si="16"/>
        <v>On Time</v>
      </c>
      <c r="N518" t="str">
        <f t="shared" si="17"/>
        <v>Mumbai → Kolkata</v>
      </c>
    </row>
    <row r="519" spans="1:14">
      <c r="A519" s="1">
        <v>45320</v>
      </c>
      <c r="B519" t="s">
        <v>35</v>
      </c>
      <c r="C519" t="s">
        <v>521</v>
      </c>
      <c r="D519" t="s">
        <v>15</v>
      </c>
      <c r="E519" t="s">
        <v>27</v>
      </c>
      <c r="F519" t="s">
        <v>24</v>
      </c>
      <c r="G519" t="s">
        <v>18</v>
      </c>
      <c r="H519" t="s">
        <v>17</v>
      </c>
      <c r="I519" t="s">
        <v>33</v>
      </c>
      <c r="J519">
        <v>3</v>
      </c>
      <c r="K519">
        <v>66</v>
      </c>
      <c r="L519" t="s">
        <v>52</v>
      </c>
      <c r="M519" t="str">
        <f t="shared" si="16"/>
        <v>Delayed</v>
      </c>
      <c r="N519" t="str">
        <f t="shared" si="17"/>
        <v>Delhi → Hyderabad</v>
      </c>
    </row>
    <row r="520" spans="1:14">
      <c r="A520" s="1">
        <v>45298</v>
      </c>
      <c r="B520" t="s">
        <v>35</v>
      </c>
      <c r="C520" t="s">
        <v>522</v>
      </c>
      <c r="D520" t="s">
        <v>40</v>
      </c>
      <c r="E520" t="s">
        <v>22</v>
      </c>
      <c r="F520" t="s">
        <v>17</v>
      </c>
      <c r="G520" t="s">
        <v>37</v>
      </c>
      <c r="H520" t="s">
        <v>31</v>
      </c>
      <c r="I520" t="s">
        <v>33</v>
      </c>
      <c r="J520">
        <v>1.54</v>
      </c>
      <c r="K520">
        <v>0</v>
      </c>
      <c r="L520" t="s">
        <v>20</v>
      </c>
      <c r="M520" t="str">
        <f t="shared" si="16"/>
        <v>On Time</v>
      </c>
      <c r="N520" t="str">
        <f t="shared" si="17"/>
        <v>Kolkata → Mumbai</v>
      </c>
    </row>
    <row r="521" spans="1:14">
      <c r="A521" s="1">
        <v>45335</v>
      </c>
      <c r="B521" t="s">
        <v>35</v>
      </c>
      <c r="C521" t="s">
        <v>523</v>
      </c>
      <c r="D521" t="s">
        <v>15</v>
      </c>
      <c r="E521" t="s">
        <v>16</v>
      </c>
      <c r="F521" t="s">
        <v>32</v>
      </c>
      <c r="G521" t="s">
        <v>18</v>
      </c>
      <c r="H521" t="s">
        <v>31</v>
      </c>
      <c r="I521" t="s">
        <v>33</v>
      </c>
      <c r="J521">
        <v>10.87</v>
      </c>
      <c r="K521">
        <v>7</v>
      </c>
      <c r="L521" t="s">
        <v>34</v>
      </c>
      <c r="M521" t="str">
        <f t="shared" si="16"/>
        <v>Delayed</v>
      </c>
      <c r="N521" t="str">
        <f t="shared" si="17"/>
        <v>Delhi → Chennai</v>
      </c>
    </row>
    <row r="522" spans="1:14">
      <c r="A522" s="1">
        <v>45304</v>
      </c>
      <c r="B522" t="s">
        <v>45</v>
      </c>
      <c r="C522" t="s">
        <v>524</v>
      </c>
      <c r="D522" t="s">
        <v>23</v>
      </c>
      <c r="E522" t="s">
        <v>16</v>
      </c>
      <c r="F522" t="s">
        <v>24</v>
      </c>
      <c r="G522" t="s">
        <v>37</v>
      </c>
      <c r="H522" t="s">
        <v>28</v>
      </c>
      <c r="I522" t="s">
        <v>19</v>
      </c>
      <c r="J522">
        <v>3.15</v>
      </c>
      <c r="K522">
        <v>0</v>
      </c>
      <c r="L522" t="s">
        <v>20</v>
      </c>
      <c r="M522" t="str">
        <f t="shared" si="16"/>
        <v>On Time</v>
      </c>
      <c r="N522" t="str">
        <f t="shared" si="17"/>
        <v>Bangalore → Chennai</v>
      </c>
    </row>
    <row r="523" spans="1:14">
      <c r="A523" s="1">
        <v>45292</v>
      </c>
      <c r="B523" t="s">
        <v>35</v>
      </c>
      <c r="C523" t="s">
        <v>205</v>
      </c>
      <c r="D523" t="s">
        <v>27</v>
      </c>
      <c r="E523" t="s">
        <v>40</v>
      </c>
      <c r="F523" t="s">
        <v>31</v>
      </c>
      <c r="G523" t="s">
        <v>37</v>
      </c>
      <c r="H523" t="s">
        <v>17</v>
      </c>
      <c r="I523" t="s">
        <v>33</v>
      </c>
      <c r="J523">
        <v>11.4</v>
      </c>
      <c r="K523">
        <v>0</v>
      </c>
      <c r="L523" t="s">
        <v>20</v>
      </c>
      <c r="M523" t="str">
        <f t="shared" si="16"/>
        <v>On Time</v>
      </c>
      <c r="N523" t="str">
        <f t="shared" si="17"/>
        <v>Hyderabad → Kolkata</v>
      </c>
    </row>
    <row r="524" spans="1:14">
      <c r="A524" s="1">
        <v>45310</v>
      </c>
      <c r="B524" t="s">
        <v>35</v>
      </c>
      <c r="C524" t="s">
        <v>525</v>
      </c>
      <c r="D524" t="s">
        <v>22</v>
      </c>
      <c r="E524" t="s">
        <v>23</v>
      </c>
      <c r="F524" t="s">
        <v>31</v>
      </c>
      <c r="G524" t="s">
        <v>37</v>
      </c>
      <c r="H524" t="s">
        <v>28</v>
      </c>
      <c r="I524" t="s">
        <v>33</v>
      </c>
      <c r="J524">
        <v>1.8</v>
      </c>
      <c r="K524">
        <v>0</v>
      </c>
      <c r="L524" t="s">
        <v>20</v>
      </c>
      <c r="M524" t="str">
        <f t="shared" si="16"/>
        <v>On Time</v>
      </c>
      <c r="N524" t="str">
        <f t="shared" si="17"/>
        <v>Mumbai → Bangalore</v>
      </c>
    </row>
    <row r="525" spans="1:14">
      <c r="A525" s="1">
        <v>45295</v>
      </c>
      <c r="B525" t="s">
        <v>13</v>
      </c>
      <c r="C525" t="s">
        <v>526</v>
      </c>
      <c r="D525" t="s">
        <v>16</v>
      </c>
      <c r="E525" t="s">
        <v>15</v>
      </c>
      <c r="F525" t="s">
        <v>31</v>
      </c>
      <c r="G525" t="s">
        <v>37</v>
      </c>
      <c r="H525" t="s">
        <v>32</v>
      </c>
      <c r="I525" t="s">
        <v>19</v>
      </c>
      <c r="J525">
        <v>5.23</v>
      </c>
      <c r="K525">
        <v>95</v>
      </c>
      <c r="L525" t="s">
        <v>34</v>
      </c>
      <c r="M525" t="str">
        <f t="shared" si="16"/>
        <v>Delayed</v>
      </c>
      <c r="N525" t="str">
        <f t="shared" si="17"/>
        <v>Chennai → Delhi</v>
      </c>
    </row>
    <row r="526" spans="1:14">
      <c r="A526" s="1">
        <v>45344</v>
      </c>
      <c r="B526" t="s">
        <v>45</v>
      </c>
      <c r="C526" t="s">
        <v>527</v>
      </c>
      <c r="D526" t="s">
        <v>40</v>
      </c>
      <c r="E526" t="s">
        <v>27</v>
      </c>
      <c r="F526" t="s">
        <v>31</v>
      </c>
      <c r="G526" t="s">
        <v>18</v>
      </c>
      <c r="H526" t="s">
        <v>32</v>
      </c>
      <c r="I526" t="s">
        <v>19</v>
      </c>
      <c r="J526">
        <v>6.28</v>
      </c>
      <c r="K526">
        <v>109</v>
      </c>
      <c r="L526" t="s">
        <v>25</v>
      </c>
      <c r="M526" t="str">
        <f t="shared" si="16"/>
        <v>Delayed</v>
      </c>
      <c r="N526" t="str">
        <f t="shared" si="17"/>
        <v>Kolkata → Hyderabad</v>
      </c>
    </row>
    <row r="527" spans="1:14">
      <c r="A527" s="1">
        <v>45333</v>
      </c>
      <c r="B527" t="s">
        <v>38</v>
      </c>
      <c r="C527" t="s">
        <v>528</v>
      </c>
      <c r="D527" t="s">
        <v>16</v>
      </c>
      <c r="E527" t="s">
        <v>22</v>
      </c>
      <c r="F527" t="s">
        <v>17</v>
      </c>
      <c r="G527" t="s">
        <v>37</v>
      </c>
      <c r="H527" t="s">
        <v>17</v>
      </c>
      <c r="I527" t="s">
        <v>33</v>
      </c>
      <c r="J527">
        <v>8.85</v>
      </c>
      <c r="K527">
        <v>0</v>
      </c>
      <c r="L527" t="s">
        <v>20</v>
      </c>
      <c r="M527" t="str">
        <f t="shared" si="16"/>
        <v>On Time</v>
      </c>
      <c r="N527" t="str">
        <f t="shared" si="17"/>
        <v>Chennai → Mumbai</v>
      </c>
    </row>
    <row r="528" spans="1:14">
      <c r="A528" s="1">
        <v>45313</v>
      </c>
      <c r="B528" t="s">
        <v>29</v>
      </c>
      <c r="C528" t="s">
        <v>529</v>
      </c>
      <c r="D528" t="s">
        <v>16</v>
      </c>
      <c r="E528" t="s">
        <v>27</v>
      </c>
      <c r="F528" t="s">
        <v>31</v>
      </c>
      <c r="G528" t="s">
        <v>37</v>
      </c>
      <c r="H528" t="s">
        <v>31</v>
      </c>
      <c r="I528" t="s">
        <v>19</v>
      </c>
      <c r="J528">
        <v>10.38</v>
      </c>
      <c r="K528">
        <v>49</v>
      </c>
      <c r="L528" t="s">
        <v>52</v>
      </c>
      <c r="M528" t="str">
        <f t="shared" si="16"/>
        <v>Delayed</v>
      </c>
      <c r="N528" t="str">
        <f t="shared" si="17"/>
        <v>Chennai → Hyderabad</v>
      </c>
    </row>
    <row r="529" spans="1:14">
      <c r="A529" s="1">
        <v>45341</v>
      </c>
      <c r="B529" t="s">
        <v>29</v>
      </c>
      <c r="C529" t="s">
        <v>530</v>
      </c>
      <c r="D529" t="s">
        <v>27</v>
      </c>
      <c r="E529" t="s">
        <v>40</v>
      </c>
      <c r="F529" t="s">
        <v>17</v>
      </c>
      <c r="G529" t="s">
        <v>18</v>
      </c>
      <c r="H529" t="s">
        <v>24</v>
      </c>
      <c r="I529" t="s">
        <v>33</v>
      </c>
      <c r="J529">
        <v>4.92</v>
      </c>
      <c r="K529">
        <v>0</v>
      </c>
      <c r="L529" t="s">
        <v>20</v>
      </c>
      <c r="M529" t="str">
        <f t="shared" si="16"/>
        <v>On Time</v>
      </c>
      <c r="N529" t="str">
        <f t="shared" si="17"/>
        <v>Hyderabad → Kolkata</v>
      </c>
    </row>
    <row r="530" spans="1:14">
      <c r="A530" s="1">
        <v>45296</v>
      </c>
      <c r="B530" t="s">
        <v>29</v>
      </c>
      <c r="C530" t="s">
        <v>531</v>
      </c>
      <c r="D530" t="s">
        <v>27</v>
      </c>
      <c r="E530" t="s">
        <v>16</v>
      </c>
      <c r="F530" t="s">
        <v>32</v>
      </c>
      <c r="G530" t="s">
        <v>37</v>
      </c>
      <c r="H530" t="s">
        <v>24</v>
      </c>
      <c r="I530" t="s">
        <v>19</v>
      </c>
      <c r="J530">
        <v>7.25</v>
      </c>
      <c r="K530">
        <v>0</v>
      </c>
      <c r="L530" t="s">
        <v>20</v>
      </c>
      <c r="M530" t="str">
        <f t="shared" si="16"/>
        <v>On Time</v>
      </c>
      <c r="N530" t="str">
        <f t="shared" si="17"/>
        <v>Hyderabad → Chennai</v>
      </c>
    </row>
    <row r="531" spans="1:14">
      <c r="A531" s="1">
        <v>45316</v>
      </c>
      <c r="B531" t="s">
        <v>13</v>
      </c>
      <c r="C531" t="s">
        <v>532</v>
      </c>
      <c r="D531" t="s">
        <v>23</v>
      </c>
      <c r="E531" t="s">
        <v>22</v>
      </c>
      <c r="F531" t="s">
        <v>24</v>
      </c>
      <c r="G531" t="s">
        <v>37</v>
      </c>
      <c r="H531" t="s">
        <v>32</v>
      </c>
      <c r="I531" t="s">
        <v>33</v>
      </c>
      <c r="J531">
        <v>3.32</v>
      </c>
      <c r="K531">
        <v>0</v>
      </c>
      <c r="L531" t="s">
        <v>20</v>
      </c>
      <c r="M531" t="str">
        <f t="shared" si="16"/>
        <v>On Time</v>
      </c>
      <c r="N531" t="str">
        <f t="shared" si="17"/>
        <v>Bangalore → Mumbai</v>
      </c>
    </row>
    <row r="532" spans="1:14">
      <c r="A532" s="1">
        <v>45296</v>
      </c>
      <c r="B532" t="s">
        <v>35</v>
      </c>
      <c r="C532" t="s">
        <v>533</v>
      </c>
      <c r="D532" t="s">
        <v>16</v>
      </c>
      <c r="E532" t="s">
        <v>15</v>
      </c>
      <c r="F532" t="s">
        <v>24</v>
      </c>
      <c r="G532" t="s">
        <v>37</v>
      </c>
      <c r="H532" t="s">
        <v>24</v>
      </c>
      <c r="I532" t="s">
        <v>33</v>
      </c>
      <c r="J532">
        <v>10.130000000000001</v>
      </c>
      <c r="K532">
        <v>0</v>
      </c>
      <c r="L532" t="s">
        <v>20</v>
      </c>
      <c r="M532" t="str">
        <f t="shared" si="16"/>
        <v>On Time</v>
      </c>
      <c r="N532" t="str">
        <f t="shared" si="17"/>
        <v>Chennai → Delhi</v>
      </c>
    </row>
    <row r="533" spans="1:14">
      <c r="A533" s="1">
        <v>45311</v>
      </c>
      <c r="B533" t="s">
        <v>38</v>
      </c>
      <c r="C533" t="s">
        <v>534</v>
      </c>
      <c r="D533" t="s">
        <v>15</v>
      </c>
      <c r="E533" t="s">
        <v>40</v>
      </c>
      <c r="F533" t="s">
        <v>31</v>
      </c>
      <c r="G533" t="s">
        <v>37</v>
      </c>
      <c r="H533" t="s">
        <v>24</v>
      </c>
      <c r="I533" t="s">
        <v>33</v>
      </c>
      <c r="J533">
        <v>2.4500000000000002</v>
      </c>
      <c r="K533">
        <v>0</v>
      </c>
      <c r="L533" t="s">
        <v>20</v>
      </c>
      <c r="M533" t="str">
        <f t="shared" si="16"/>
        <v>On Time</v>
      </c>
      <c r="N533" t="str">
        <f t="shared" si="17"/>
        <v>Delhi → Kolkata</v>
      </c>
    </row>
    <row r="534" spans="1:14">
      <c r="A534" s="1">
        <v>45300</v>
      </c>
      <c r="B534" t="s">
        <v>35</v>
      </c>
      <c r="C534" t="s">
        <v>535</v>
      </c>
      <c r="D534" t="s">
        <v>40</v>
      </c>
      <c r="E534" t="s">
        <v>15</v>
      </c>
      <c r="F534" t="s">
        <v>17</v>
      </c>
      <c r="G534" t="s">
        <v>37</v>
      </c>
      <c r="H534" t="s">
        <v>17</v>
      </c>
      <c r="I534" t="s">
        <v>33</v>
      </c>
      <c r="J534">
        <v>3.66</v>
      </c>
      <c r="K534">
        <v>54</v>
      </c>
      <c r="L534" t="s">
        <v>25</v>
      </c>
      <c r="M534" t="str">
        <f t="shared" si="16"/>
        <v>Delayed</v>
      </c>
      <c r="N534" t="str">
        <f t="shared" si="17"/>
        <v>Kolkata → Delhi</v>
      </c>
    </row>
    <row r="535" spans="1:14">
      <c r="A535" s="1">
        <v>45312</v>
      </c>
      <c r="B535" t="s">
        <v>29</v>
      </c>
      <c r="C535" t="s">
        <v>536</v>
      </c>
      <c r="D535" t="s">
        <v>27</v>
      </c>
      <c r="E535" t="s">
        <v>23</v>
      </c>
      <c r="F535" t="s">
        <v>32</v>
      </c>
      <c r="G535" t="s">
        <v>18</v>
      </c>
      <c r="H535" t="s">
        <v>28</v>
      </c>
      <c r="I535" t="s">
        <v>19</v>
      </c>
      <c r="J535">
        <v>10.45</v>
      </c>
      <c r="K535">
        <v>83</v>
      </c>
      <c r="L535" t="s">
        <v>25</v>
      </c>
      <c r="M535" t="str">
        <f t="shared" si="16"/>
        <v>Delayed</v>
      </c>
      <c r="N535" t="str">
        <f t="shared" si="17"/>
        <v>Hyderabad → Bangalore</v>
      </c>
    </row>
    <row r="536" spans="1:14">
      <c r="A536" s="1">
        <v>45315</v>
      </c>
      <c r="B536" t="s">
        <v>35</v>
      </c>
      <c r="C536" t="s">
        <v>537</v>
      </c>
      <c r="D536" t="s">
        <v>15</v>
      </c>
      <c r="E536" t="s">
        <v>22</v>
      </c>
      <c r="F536" t="s">
        <v>24</v>
      </c>
      <c r="G536" t="s">
        <v>18</v>
      </c>
      <c r="H536" t="s">
        <v>28</v>
      </c>
      <c r="I536" t="s">
        <v>33</v>
      </c>
      <c r="J536">
        <v>3.97</v>
      </c>
      <c r="K536">
        <v>0</v>
      </c>
      <c r="L536" t="s">
        <v>20</v>
      </c>
      <c r="M536" t="str">
        <f t="shared" si="16"/>
        <v>On Time</v>
      </c>
      <c r="N536" t="str">
        <f t="shared" si="17"/>
        <v>Delhi → Mumbai</v>
      </c>
    </row>
    <row r="537" spans="1:14">
      <c r="A537" s="1">
        <v>45329</v>
      </c>
      <c r="B537" t="s">
        <v>38</v>
      </c>
      <c r="C537" t="s">
        <v>538</v>
      </c>
      <c r="D537" t="s">
        <v>40</v>
      </c>
      <c r="E537" t="s">
        <v>23</v>
      </c>
      <c r="F537" t="s">
        <v>32</v>
      </c>
      <c r="G537" t="s">
        <v>37</v>
      </c>
      <c r="H537" t="s">
        <v>32</v>
      </c>
      <c r="I537" t="s">
        <v>33</v>
      </c>
      <c r="J537">
        <v>8.4600000000000009</v>
      </c>
      <c r="K537">
        <v>0</v>
      </c>
      <c r="L537" t="s">
        <v>20</v>
      </c>
      <c r="M537" t="str">
        <f t="shared" si="16"/>
        <v>On Time</v>
      </c>
      <c r="N537" t="str">
        <f t="shared" si="17"/>
        <v>Kolkata → Bangalore</v>
      </c>
    </row>
    <row r="538" spans="1:14">
      <c r="A538" s="1">
        <v>45300</v>
      </c>
      <c r="B538" t="s">
        <v>45</v>
      </c>
      <c r="C538" t="s">
        <v>539</v>
      </c>
      <c r="D538" t="s">
        <v>27</v>
      </c>
      <c r="E538" t="s">
        <v>16</v>
      </c>
      <c r="F538" t="s">
        <v>28</v>
      </c>
      <c r="G538" t="s">
        <v>18</v>
      </c>
      <c r="H538" t="s">
        <v>32</v>
      </c>
      <c r="I538" t="s">
        <v>33</v>
      </c>
      <c r="J538">
        <v>2.91</v>
      </c>
      <c r="K538">
        <v>0</v>
      </c>
      <c r="L538" t="s">
        <v>20</v>
      </c>
      <c r="M538" t="str">
        <f t="shared" si="16"/>
        <v>On Time</v>
      </c>
      <c r="N538" t="str">
        <f t="shared" si="17"/>
        <v>Hyderabad → Chennai</v>
      </c>
    </row>
    <row r="539" spans="1:14">
      <c r="A539" s="1">
        <v>45333</v>
      </c>
      <c r="B539" t="s">
        <v>13</v>
      </c>
      <c r="C539" t="s">
        <v>540</v>
      </c>
      <c r="D539" t="s">
        <v>22</v>
      </c>
      <c r="E539" t="s">
        <v>27</v>
      </c>
      <c r="F539" t="s">
        <v>32</v>
      </c>
      <c r="G539" t="s">
        <v>18</v>
      </c>
      <c r="H539" t="s">
        <v>17</v>
      </c>
      <c r="I539" t="s">
        <v>19</v>
      </c>
      <c r="J539">
        <v>10.88</v>
      </c>
      <c r="K539">
        <v>87</v>
      </c>
      <c r="L539" t="s">
        <v>52</v>
      </c>
      <c r="M539" t="str">
        <f t="shared" si="16"/>
        <v>Delayed</v>
      </c>
      <c r="N539" t="str">
        <f t="shared" si="17"/>
        <v>Mumbai → Hyderabad</v>
      </c>
    </row>
    <row r="540" spans="1:14">
      <c r="A540" s="1">
        <v>45330</v>
      </c>
      <c r="B540" t="s">
        <v>38</v>
      </c>
      <c r="C540" t="s">
        <v>541</v>
      </c>
      <c r="D540" t="s">
        <v>27</v>
      </c>
      <c r="E540" t="s">
        <v>22</v>
      </c>
      <c r="F540" t="s">
        <v>32</v>
      </c>
      <c r="G540" t="s">
        <v>37</v>
      </c>
      <c r="H540" t="s">
        <v>24</v>
      </c>
      <c r="I540" t="s">
        <v>33</v>
      </c>
      <c r="J540">
        <v>3.45</v>
      </c>
      <c r="K540">
        <v>54</v>
      </c>
      <c r="L540" t="s">
        <v>25</v>
      </c>
      <c r="M540" t="str">
        <f t="shared" si="16"/>
        <v>Delayed</v>
      </c>
      <c r="N540" t="str">
        <f t="shared" si="17"/>
        <v>Hyderabad → Mumbai</v>
      </c>
    </row>
    <row r="541" spans="1:14">
      <c r="A541" s="1">
        <v>45292</v>
      </c>
      <c r="B541" t="s">
        <v>35</v>
      </c>
      <c r="C541" t="s">
        <v>345</v>
      </c>
      <c r="D541" t="s">
        <v>16</v>
      </c>
      <c r="E541" t="s">
        <v>22</v>
      </c>
      <c r="F541" t="s">
        <v>24</v>
      </c>
      <c r="G541" t="s">
        <v>37</v>
      </c>
      <c r="H541" t="s">
        <v>28</v>
      </c>
      <c r="I541" t="s">
        <v>33</v>
      </c>
      <c r="J541">
        <v>7.47</v>
      </c>
      <c r="K541">
        <v>0</v>
      </c>
      <c r="L541" t="s">
        <v>20</v>
      </c>
      <c r="M541" t="str">
        <f t="shared" si="16"/>
        <v>On Time</v>
      </c>
      <c r="N541" t="str">
        <f t="shared" si="17"/>
        <v>Chennai → Mumbai</v>
      </c>
    </row>
    <row r="542" spans="1:14">
      <c r="A542" s="1">
        <v>45315</v>
      </c>
      <c r="B542" t="s">
        <v>13</v>
      </c>
      <c r="C542" t="s">
        <v>542</v>
      </c>
      <c r="D542" t="s">
        <v>27</v>
      </c>
      <c r="E542" t="s">
        <v>16</v>
      </c>
      <c r="F542" t="s">
        <v>31</v>
      </c>
      <c r="G542" t="s">
        <v>37</v>
      </c>
      <c r="H542" t="s">
        <v>17</v>
      </c>
      <c r="I542" t="s">
        <v>33</v>
      </c>
      <c r="J542">
        <v>7</v>
      </c>
      <c r="K542">
        <v>0</v>
      </c>
      <c r="L542" t="s">
        <v>20</v>
      </c>
      <c r="M542" t="str">
        <f t="shared" si="16"/>
        <v>On Time</v>
      </c>
      <c r="N542" t="str">
        <f t="shared" si="17"/>
        <v>Hyderabad → Chennai</v>
      </c>
    </row>
    <row r="543" spans="1:14">
      <c r="A543" s="1">
        <v>45297</v>
      </c>
      <c r="B543" t="s">
        <v>45</v>
      </c>
      <c r="C543" t="s">
        <v>160</v>
      </c>
      <c r="D543" t="s">
        <v>16</v>
      </c>
      <c r="E543" t="s">
        <v>15</v>
      </c>
      <c r="F543" t="s">
        <v>24</v>
      </c>
      <c r="G543" t="s">
        <v>37</v>
      </c>
      <c r="H543" t="s">
        <v>24</v>
      </c>
      <c r="I543" t="s">
        <v>19</v>
      </c>
      <c r="J543">
        <v>9.67</v>
      </c>
      <c r="K543">
        <v>120</v>
      </c>
      <c r="L543" t="s">
        <v>34</v>
      </c>
      <c r="M543" t="str">
        <f t="shared" si="16"/>
        <v>Delayed</v>
      </c>
      <c r="N543" t="str">
        <f t="shared" si="17"/>
        <v>Chennai → Delhi</v>
      </c>
    </row>
    <row r="544" spans="1:14">
      <c r="A544" s="1">
        <v>45321</v>
      </c>
      <c r="B544" t="s">
        <v>35</v>
      </c>
      <c r="C544" t="s">
        <v>543</v>
      </c>
      <c r="D544" t="s">
        <v>16</v>
      </c>
      <c r="E544" t="s">
        <v>40</v>
      </c>
      <c r="F544" t="s">
        <v>28</v>
      </c>
      <c r="G544" t="s">
        <v>37</v>
      </c>
      <c r="H544" t="s">
        <v>32</v>
      </c>
      <c r="I544" t="s">
        <v>33</v>
      </c>
      <c r="J544">
        <v>1.87</v>
      </c>
      <c r="K544">
        <v>0</v>
      </c>
      <c r="L544" t="s">
        <v>20</v>
      </c>
      <c r="M544" t="str">
        <f t="shared" si="16"/>
        <v>On Time</v>
      </c>
      <c r="N544" t="str">
        <f t="shared" si="17"/>
        <v>Chennai → Kolkata</v>
      </c>
    </row>
    <row r="545" spans="1:14">
      <c r="A545" s="1">
        <v>45339</v>
      </c>
      <c r="B545" t="s">
        <v>29</v>
      </c>
      <c r="C545" t="s">
        <v>544</v>
      </c>
      <c r="D545" t="s">
        <v>40</v>
      </c>
      <c r="E545" t="s">
        <v>27</v>
      </c>
      <c r="F545" t="s">
        <v>28</v>
      </c>
      <c r="G545" t="s">
        <v>37</v>
      </c>
      <c r="H545" t="s">
        <v>31</v>
      </c>
      <c r="I545" t="s">
        <v>19</v>
      </c>
      <c r="J545">
        <v>8.39</v>
      </c>
      <c r="K545">
        <v>0</v>
      </c>
      <c r="L545" t="s">
        <v>20</v>
      </c>
      <c r="M545" t="str">
        <f t="shared" si="16"/>
        <v>On Time</v>
      </c>
      <c r="N545" t="str">
        <f t="shared" si="17"/>
        <v>Kolkata → Hyderabad</v>
      </c>
    </row>
    <row r="546" spans="1:14">
      <c r="A546" s="1">
        <v>45343</v>
      </c>
      <c r="B546" t="s">
        <v>35</v>
      </c>
      <c r="C546" t="s">
        <v>545</v>
      </c>
      <c r="D546" t="s">
        <v>15</v>
      </c>
      <c r="E546" t="s">
        <v>16</v>
      </c>
      <c r="F546" t="s">
        <v>32</v>
      </c>
      <c r="G546" t="s">
        <v>18</v>
      </c>
      <c r="H546" t="s">
        <v>31</v>
      </c>
      <c r="I546" t="s">
        <v>19</v>
      </c>
      <c r="J546">
        <v>2.89</v>
      </c>
      <c r="K546">
        <v>113</v>
      </c>
      <c r="L546" t="s">
        <v>52</v>
      </c>
      <c r="M546" t="str">
        <f t="shared" si="16"/>
        <v>Delayed</v>
      </c>
      <c r="N546" t="str">
        <f t="shared" si="17"/>
        <v>Delhi → Chennai</v>
      </c>
    </row>
    <row r="547" spans="1:14">
      <c r="A547" s="1">
        <v>45309</v>
      </c>
      <c r="B547" t="s">
        <v>29</v>
      </c>
      <c r="C547" t="s">
        <v>546</v>
      </c>
      <c r="D547" t="s">
        <v>15</v>
      </c>
      <c r="E547" t="s">
        <v>22</v>
      </c>
      <c r="F547" t="s">
        <v>24</v>
      </c>
      <c r="G547" t="s">
        <v>18</v>
      </c>
      <c r="H547" t="s">
        <v>17</v>
      </c>
      <c r="I547" t="s">
        <v>33</v>
      </c>
      <c r="J547">
        <v>4.24</v>
      </c>
      <c r="K547">
        <v>0</v>
      </c>
      <c r="L547" t="s">
        <v>20</v>
      </c>
      <c r="M547" t="str">
        <f t="shared" si="16"/>
        <v>On Time</v>
      </c>
      <c r="N547" t="str">
        <f t="shared" si="17"/>
        <v>Delhi → Mumbai</v>
      </c>
    </row>
    <row r="548" spans="1:14">
      <c r="A548" s="1">
        <v>45307</v>
      </c>
      <c r="B548" t="s">
        <v>38</v>
      </c>
      <c r="C548" t="s">
        <v>547</v>
      </c>
      <c r="D548" t="s">
        <v>22</v>
      </c>
      <c r="E548" t="s">
        <v>40</v>
      </c>
      <c r="F548" t="s">
        <v>31</v>
      </c>
      <c r="G548" t="s">
        <v>18</v>
      </c>
      <c r="H548" t="s">
        <v>28</v>
      </c>
      <c r="I548" t="s">
        <v>19</v>
      </c>
      <c r="J548">
        <v>10.29</v>
      </c>
      <c r="K548">
        <v>0</v>
      </c>
      <c r="L548" t="s">
        <v>20</v>
      </c>
      <c r="M548" t="str">
        <f t="shared" si="16"/>
        <v>On Time</v>
      </c>
      <c r="N548" t="str">
        <f t="shared" si="17"/>
        <v>Mumbai → Kolkata</v>
      </c>
    </row>
    <row r="549" spans="1:14">
      <c r="A549" s="1">
        <v>45318</v>
      </c>
      <c r="B549" t="s">
        <v>38</v>
      </c>
      <c r="C549" t="s">
        <v>548</v>
      </c>
      <c r="D549" t="s">
        <v>22</v>
      </c>
      <c r="E549" t="s">
        <v>27</v>
      </c>
      <c r="F549" t="s">
        <v>17</v>
      </c>
      <c r="G549" t="s">
        <v>37</v>
      </c>
      <c r="H549" t="s">
        <v>17</v>
      </c>
      <c r="I549" t="s">
        <v>19</v>
      </c>
      <c r="J549">
        <v>2.0499999999999998</v>
      </c>
      <c r="K549">
        <v>87</v>
      </c>
      <c r="L549" t="s">
        <v>25</v>
      </c>
      <c r="M549" t="str">
        <f t="shared" si="16"/>
        <v>Delayed</v>
      </c>
      <c r="N549" t="str">
        <f t="shared" si="17"/>
        <v>Mumbai → Hyderabad</v>
      </c>
    </row>
    <row r="550" spans="1:14">
      <c r="A550" s="1">
        <v>45317</v>
      </c>
      <c r="B550" t="s">
        <v>38</v>
      </c>
      <c r="C550" t="s">
        <v>549</v>
      </c>
      <c r="D550" t="s">
        <v>23</v>
      </c>
      <c r="E550" t="s">
        <v>27</v>
      </c>
      <c r="F550" t="s">
        <v>24</v>
      </c>
      <c r="G550" t="s">
        <v>37</v>
      </c>
      <c r="H550" t="s">
        <v>17</v>
      </c>
      <c r="I550" t="s">
        <v>33</v>
      </c>
      <c r="J550">
        <v>7.07</v>
      </c>
      <c r="K550">
        <v>65</v>
      </c>
      <c r="L550" t="s">
        <v>25</v>
      </c>
      <c r="M550" t="str">
        <f t="shared" si="16"/>
        <v>Delayed</v>
      </c>
      <c r="N550" t="str">
        <f t="shared" si="17"/>
        <v>Bangalore → Hyderabad</v>
      </c>
    </row>
    <row r="551" spans="1:14">
      <c r="A551" s="1">
        <v>45292</v>
      </c>
      <c r="B551" t="s">
        <v>29</v>
      </c>
      <c r="C551" t="s">
        <v>550</v>
      </c>
      <c r="D551" t="s">
        <v>16</v>
      </c>
      <c r="E551" t="s">
        <v>27</v>
      </c>
      <c r="F551" t="s">
        <v>28</v>
      </c>
      <c r="G551" t="s">
        <v>18</v>
      </c>
      <c r="H551" t="s">
        <v>24</v>
      </c>
      <c r="I551" t="s">
        <v>19</v>
      </c>
      <c r="J551">
        <v>7.91</v>
      </c>
      <c r="K551">
        <v>73</v>
      </c>
      <c r="L551" t="s">
        <v>52</v>
      </c>
      <c r="M551" t="str">
        <f t="shared" si="16"/>
        <v>Delayed</v>
      </c>
      <c r="N551" t="str">
        <f t="shared" si="17"/>
        <v>Chennai → Hyderabad</v>
      </c>
    </row>
    <row r="552" spans="1:14">
      <c r="A552" s="1">
        <v>45346</v>
      </c>
      <c r="B552" t="s">
        <v>29</v>
      </c>
      <c r="C552" t="s">
        <v>551</v>
      </c>
      <c r="D552" t="s">
        <v>23</v>
      </c>
      <c r="E552" t="s">
        <v>16</v>
      </c>
      <c r="F552" t="s">
        <v>28</v>
      </c>
      <c r="G552" t="s">
        <v>37</v>
      </c>
      <c r="H552" t="s">
        <v>31</v>
      </c>
      <c r="I552" t="s">
        <v>33</v>
      </c>
      <c r="J552">
        <v>9.2100000000000009</v>
      </c>
      <c r="K552">
        <v>0</v>
      </c>
      <c r="L552" t="s">
        <v>20</v>
      </c>
      <c r="M552" t="str">
        <f t="shared" si="16"/>
        <v>On Time</v>
      </c>
      <c r="N552" t="str">
        <f t="shared" si="17"/>
        <v>Bangalore → Chennai</v>
      </c>
    </row>
    <row r="553" spans="1:14">
      <c r="A553" s="1">
        <v>45341</v>
      </c>
      <c r="B553" t="s">
        <v>45</v>
      </c>
      <c r="C553" t="s">
        <v>552</v>
      </c>
      <c r="D553" t="s">
        <v>27</v>
      </c>
      <c r="E553" t="s">
        <v>23</v>
      </c>
      <c r="F553" t="s">
        <v>17</v>
      </c>
      <c r="G553" t="s">
        <v>18</v>
      </c>
      <c r="H553" t="s">
        <v>28</v>
      </c>
      <c r="I553" t="s">
        <v>19</v>
      </c>
      <c r="J553">
        <v>1.63</v>
      </c>
      <c r="K553">
        <v>0</v>
      </c>
      <c r="L553" t="s">
        <v>20</v>
      </c>
      <c r="M553" t="str">
        <f t="shared" si="16"/>
        <v>On Time</v>
      </c>
      <c r="N553" t="str">
        <f t="shared" si="17"/>
        <v>Hyderabad → Bangalore</v>
      </c>
    </row>
    <row r="554" spans="1:14">
      <c r="A554" s="1">
        <v>45325</v>
      </c>
      <c r="B554" t="s">
        <v>13</v>
      </c>
      <c r="C554" t="s">
        <v>553</v>
      </c>
      <c r="D554" t="s">
        <v>40</v>
      </c>
      <c r="E554" t="s">
        <v>16</v>
      </c>
      <c r="F554" t="s">
        <v>28</v>
      </c>
      <c r="G554" t="s">
        <v>37</v>
      </c>
      <c r="H554" t="s">
        <v>17</v>
      </c>
      <c r="I554" t="s">
        <v>33</v>
      </c>
      <c r="J554">
        <v>1.75</v>
      </c>
      <c r="K554">
        <v>0</v>
      </c>
      <c r="L554" t="s">
        <v>20</v>
      </c>
      <c r="M554" t="str">
        <f t="shared" si="16"/>
        <v>On Time</v>
      </c>
      <c r="N554" t="str">
        <f t="shared" si="17"/>
        <v>Kolkata → Chennai</v>
      </c>
    </row>
    <row r="555" spans="1:14">
      <c r="A555" s="1">
        <v>45295</v>
      </c>
      <c r="B555" t="s">
        <v>35</v>
      </c>
      <c r="C555" t="s">
        <v>554</v>
      </c>
      <c r="D555" t="s">
        <v>40</v>
      </c>
      <c r="E555" t="s">
        <v>22</v>
      </c>
      <c r="F555" t="s">
        <v>24</v>
      </c>
      <c r="G555" t="s">
        <v>18</v>
      </c>
      <c r="H555" t="s">
        <v>31</v>
      </c>
      <c r="I555" t="s">
        <v>19</v>
      </c>
      <c r="J555">
        <v>5.45</v>
      </c>
      <c r="K555">
        <v>0</v>
      </c>
      <c r="L555" t="s">
        <v>20</v>
      </c>
      <c r="M555" t="str">
        <f t="shared" si="16"/>
        <v>On Time</v>
      </c>
      <c r="N555" t="str">
        <f t="shared" si="17"/>
        <v>Kolkata → Mumbai</v>
      </c>
    </row>
    <row r="556" spans="1:14">
      <c r="A556" s="1">
        <v>45349</v>
      </c>
      <c r="B556" t="s">
        <v>35</v>
      </c>
      <c r="C556" t="s">
        <v>555</v>
      </c>
      <c r="D556" t="s">
        <v>22</v>
      </c>
      <c r="E556" t="s">
        <v>15</v>
      </c>
      <c r="F556" t="s">
        <v>17</v>
      </c>
      <c r="G556" t="s">
        <v>37</v>
      </c>
      <c r="H556" t="s">
        <v>28</v>
      </c>
      <c r="I556" t="s">
        <v>33</v>
      </c>
      <c r="J556">
        <v>8.2100000000000009</v>
      </c>
      <c r="K556">
        <v>0</v>
      </c>
      <c r="L556" t="s">
        <v>20</v>
      </c>
      <c r="M556" t="str">
        <f t="shared" si="16"/>
        <v>On Time</v>
      </c>
      <c r="N556" t="str">
        <f t="shared" si="17"/>
        <v>Mumbai → Delhi</v>
      </c>
    </row>
    <row r="557" spans="1:14">
      <c r="A557" s="1">
        <v>45341</v>
      </c>
      <c r="B557" t="s">
        <v>38</v>
      </c>
      <c r="C557" t="s">
        <v>556</v>
      </c>
      <c r="D557" t="s">
        <v>40</v>
      </c>
      <c r="E557" t="s">
        <v>23</v>
      </c>
      <c r="F557" t="s">
        <v>28</v>
      </c>
      <c r="G557" t="s">
        <v>18</v>
      </c>
      <c r="H557" t="s">
        <v>17</v>
      </c>
      <c r="I557" t="s">
        <v>33</v>
      </c>
      <c r="J557">
        <v>5.52</v>
      </c>
      <c r="K557">
        <v>0</v>
      </c>
      <c r="L557" t="s">
        <v>20</v>
      </c>
      <c r="M557" t="str">
        <f t="shared" si="16"/>
        <v>On Time</v>
      </c>
      <c r="N557" t="str">
        <f t="shared" si="17"/>
        <v>Kolkata → Bangalore</v>
      </c>
    </row>
    <row r="558" spans="1:14">
      <c r="A558" s="1">
        <v>45295</v>
      </c>
      <c r="B558" t="s">
        <v>29</v>
      </c>
      <c r="C558" t="s">
        <v>557</v>
      </c>
      <c r="D558" t="s">
        <v>23</v>
      </c>
      <c r="E558" t="s">
        <v>22</v>
      </c>
      <c r="F558" t="s">
        <v>32</v>
      </c>
      <c r="G558" t="s">
        <v>37</v>
      </c>
      <c r="H558" t="s">
        <v>31</v>
      </c>
      <c r="I558" t="s">
        <v>19</v>
      </c>
      <c r="J558">
        <v>8.2799999999999994</v>
      </c>
      <c r="K558">
        <v>83</v>
      </c>
      <c r="L558" t="s">
        <v>25</v>
      </c>
      <c r="M558" t="str">
        <f t="shared" si="16"/>
        <v>Delayed</v>
      </c>
      <c r="N558" t="str">
        <f t="shared" si="17"/>
        <v>Bangalore → Mumbai</v>
      </c>
    </row>
    <row r="559" spans="1:14">
      <c r="A559" s="1">
        <v>45301</v>
      </c>
      <c r="B559" t="s">
        <v>35</v>
      </c>
      <c r="C559" t="s">
        <v>558</v>
      </c>
      <c r="D559" t="s">
        <v>16</v>
      </c>
      <c r="E559" t="s">
        <v>22</v>
      </c>
      <c r="F559" t="s">
        <v>24</v>
      </c>
      <c r="G559" t="s">
        <v>37</v>
      </c>
      <c r="H559" t="s">
        <v>31</v>
      </c>
      <c r="I559" t="s">
        <v>33</v>
      </c>
      <c r="J559">
        <v>2.27</v>
      </c>
      <c r="K559">
        <v>0</v>
      </c>
      <c r="L559" t="s">
        <v>20</v>
      </c>
      <c r="M559" t="str">
        <f t="shared" si="16"/>
        <v>On Time</v>
      </c>
      <c r="N559" t="str">
        <f t="shared" si="17"/>
        <v>Chennai → Mumbai</v>
      </c>
    </row>
    <row r="560" spans="1:14">
      <c r="A560" s="1">
        <v>45338</v>
      </c>
      <c r="B560" t="s">
        <v>29</v>
      </c>
      <c r="C560" t="s">
        <v>559</v>
      </c>
      <c r="D560" t="s">
        <v>16</v>
      </c>
      <c r="E560" t="s">
        <v>15</v>
      </c>
      <c r="F560" t="s">
        <v>32</v>
      </c>
      <c r="G560" t="s">
        <v>18</v>
      </c>
      <c r="H560" t="s">
        <v>17</v>
      </c>
      <c r="I560" t="s">
        <v>19</v>
      </c>
      <c r="J560">
        <v>3.09</v>
      </c>
      <c r="K560">
        <v>90</v>
      </c>
      <c r="L560" t="s">
        <v>52</v>
      </c>
      <c r="M560" t="str">
        <f t="shared" si="16"/>
        <v>Delayed</v>
      </c>
      <c r="N560" t="str">
        <f t="shared" si="17"/>
        <v>Chennai → Delhi</v>
      </c>
    </row>
    <row r="561" spans="1:14">
      <c r="A561" s="1">
        <v>45349</v>
      </c>
      <c r="B561" t="s">
        <v>38</v>
      </c>
      <c r="C561" t="s">
        <v>560</v>
      </c>
      <c r="D561" t="s">
        <v>27</v>
      </c>
      <c r="E561" t="s">
        <v>15</v>
      </c>
      <c r="F561" t="s">
        <v>24</v>
      </c>
      <c r="G561" t="s">
        <v>37</v>
      </c>
      <c r="H561" t="s">
        <v>32</v>
      </c>
      <c r="I561" t="s">
        <v>33</v>
      </c>
      <c r="J561">
        <v>7.17</v>
      </c>
      <c r="K561">
        <v>0</v>
      </c>
      <c r="L561" t="s">
        <v>20</v>
      </c>
      <c r="M561" t="str">
        <f t="shared" si="16"/>
        <v>On Time</v>
      </c>
      <c r="N561" t="str">
        <f t="shared" si="17"/>
        <v>Hyderabad → Delhi</v>
      </c>
    </row>
    <row r="562" spans="1:14">
      <c r="A562" s="1">
        <v>45316</v>
      </c>
      <c r="B562" t="s">
        <v>38</v>
      </c>
      <c r="C562" t="s">
        <v>561</v>
      </c>
      <c r="D562" t="s">
        <v>15</v>
      </c>
      <c r="E562" t="s">
        <v>40</v>
      </c>
      <c r="F562" t="s">
        <v>24</v>
      </c>
      <c r="G562" t="s">
        <v>37</v>
      </c>
      <c r="H562" t="s">
        <v>28</v>
      </c>
      <c r="I562" t="s">
        <v>33</v>
      </c>
      <c r="J562">
        <v>8.14</v>
      </c>
      <c r="K562">
        <v>0</v>
      </c>
      <c r="L562" t="s">
        <v>20</v>
      </c>
      <c r="M562" t="str">
        <f t="shared" si="16"/>
        <v>On Time</v>
      </c>
      <c r="N562" t="str">
        <f t="shared" si="17"/>
        <v>Delhi → Kolkata</v>
      </c>
    </row>
    <row r="563" spans="1:14">
      <c r="A563" s="1">
        <v>45297</v>
      </c>
      <c r="B563" t="s">
        <v>29</v>
      </c>
      <c r="C563" t="s">
        <v>562</v>
      </c>
      <c r="D563" t="s">
        <v>27</v>
      </c>
      <c r="E563" t="s">
        <v>23</v>
      </c>
      <c r="F563" t="s">
        <v>31</v>
      </c>
      <c r="G563" t="s">
        <v>37</v>
      </c>
      <c r="H563" t="s">
        <v>32</v>
      </c>
      <c r="I563" t="s">
        <v>19</v>
      </c>
      <c r="J563">
        <v>11.66</v>
      </c>
      <c r="K563">
        <v>0</v>
      </c>
      <c r="L563" t="s">
        <v>20</v>
      </c>
      <c r="M563" t="str">
        <f t="shared" si="16"/>
        <v>On Time</v>
      </c>
      <c r="N563" t="str">
        <f t="shared" si="17"/>
        <v>Hyderabad → Bangalore</v>
      </c>
    </row>
    <row r="564" spans="1:14">
      <c r="A564" s="1">
        <v>45304</v>
      </c>
      <c r="B564" t="s">
        <v>29</v>
      </c>
      <c r="C564" t="s">
        <v>563</v>
      </c>
      <c r="D564" t="s">
        <v>40</v>
      </c>
      <c r="E564" t="s">
        <v>16</v>
      </c>
      <c r="F564" t="s">
        <v>31</v>
      </c>
      <c r="G564" t="s">
        <v>37</v>
      </c>
      <c r="H564" t="s">
        <v>28</v>
      </c>
      <c r="I564" t="s">
        <v>19</v>
      </c>
      <c r="J564">
        <v>3.49</v>
      </c>
      <c r="K564">
        <v>118</v>
      </c>
      <c r="L564" t="s">
        <v>34</v>
      </c>
      <c r="M564" t="str">
        <f t="shared" si="16"/>
        <v>Delayed</v>
      </c>
      <c r="N564" t="str">
        <f t="shared" si="17"/>
        <v>Kolkata → Chennai</v>
      </c>
    </row>
    <row r="565" spans="1:14">
      <c r="A565" s="1">
        <v>45304</v>
      </c>
      <c r="B565" t="s">
        <v>13</v>
      </c>
      <c r="C565" t="s">
        <v>564</v>
      </c>
      <c r="D565" t="s">
        <v>40</v>
      </c>
      <c r="E565" t="s">
        <v>27</v>
      </c>
      <c r="F565" t="s">
        <v>17</v>
      </c>
      <c r="G565" t="s">
        <v>37</v>
      </c>
      <c r="H565" t="s">
        <v>32</v>
      </c>
      <c r="I565" t="s">
        <v>19</v>
      </c>
      <c r="J565">
        <v>7.11</v>
      </c>
      <c r="K565">
        <v>106</v>
      </c>
      <c r="L565" t="s">
        <v>52</v>
      </c>
      <c r="M565" t="str">
        <f t="shared" si="16"/>
        <v>Delayed</v>
      </c>
      <c r="N565" t="str">
        <f t="shared" si="17"/>
        <v>Kolkata → Hyderabad</v>
      </c>
    </row>
    <row r="566" spans="1:14">
      <c r="A566" s="1">
        <v>45343</v>
      </c>
      <c r="B566" t="s">
        <v>38</v>
      </c>
      <c r="C566" t="s">
        <v>201</v>
      </c>
      <c r="D566" t="s">
        <v>15</v>
      </c>
      <c r="E566" t="s">
        <v>22</v>
      </c>
      <c r="F566" t="s">
        <v>28</v>
      </c>
      <c r="G566" t="s">
        <v>37</v>
      </c>
      <c r="H566" t="s">
        <v>31</v>
      </c>
      <c r="I566" t="s">
        <v>19</v>
      </c>
      <c r="J566">
        <v>3.72</v>
      </c>
      <c r="K566">
        <v>0</v>
      </c>
      <c r="L566" t="s">
        <v>20</v>
      </c>
      <c r="M566" t="str">
        <f t="shared" si="16"/>
        <v>On Time</v>
      </c>
      <c r="N566" t="str">
        <f t="shared" si="17"/>
        <v>Delhi → Mumbai</v>
      </c>
    </row>
    <row r="567" spans="1:14">
      <c r="A567" s="1">
        <v>45334</v>
      </c>
      <c r="B567" t="s">
        <v>35</v>
      </c>
      <c r="C567" t="s">
        <v>565</v>
      </c>
      <c r="D567" t="s">
        <v>16</v>
      </c>
      <c r="E567" t="s">
        <v>40</v>
      </c>
      <c r="F567" t="s">
        <v>17</v>
      </c>
      <c r="G567" t="s">
        <v>18</v>
      </c>
      <c r="H567" t="s">
        <v>24</v>
      </c>
      <c r="I567" t="s">
        <v>19</v>
      </c>
      <c r="J567">
        <v>6.63</v>
      </c>
      <c r="K567">
        <v>0</v>
      </c>
      <c r="L567" t="s">
        <v>20</v>
      </c>
      <c r="M567" t="str">
        <f t="shared" si="16"/>
        <v>On Time</v>
      </c>
      <c r="N567" t="str">
        <f t="shared" si="17"/>
        <v>Chennai → Kolkata</v>
      </c>
    </row>
    <row r="568" spans="1:14">
      <c r="A568" s="1">
        <v>45322</v>
      </c>
      <c r="B568" t="s">
        <v>35</v>
      </c>
      <c r="C568" t="s">
        <v>566</v>
      </c>
      <c r="D568" t="s">
        <v>15</v>
      </c>
      <c r="E568" t="s">
        <v>23</v>
      </c>
      <c r="F568" t="s">
        <v>17</v>
      </c>
      <c r="G568" t="s">
        <v>18</v>
      </c>
      <c r="H568" t="s">
        <v>31</v>
      </c>
      <c r="I568" t="s">
        <v>19</v>
      </c>
      <c r="J568">
        <v>6.29</v>
      </c>
      <c r="K568">
        <v>120</v>
      </c>
      <c r="L568" t="s">
        <v>25</v>
      </c>
      <c r="M568" t="str">
        <f t="shared" si="16"/>
        <v>Delayed</v>
      </c>
      <c r="N568" t="str">
        <f t="shared" si="17"/>
        <v>Delhi → Bangalore</v>
      </c>
    </row>
    <row r="569" spans="1:14">
      <c r="A569" s="1">
        <v>45345</v>
      </c>
      <c r="B569" t="s">
        <v>35</v>
      </c>
      <c r="C569" t="s">
        <v>70</v>
      </c>
      <c r="D569" t="s">
        <v>15</v>
      </c>
      <c r="E569" t="s">
        <v>22</v>
      </c>
      <c r="F569" t="s">
        <v>31</v>
      </c>
      <c r="G569" t="s">
        <v>18</v>
      </c>
      <c r="H569" t="s">
        <v>32</v>
      </c>
      <c r="I569" t="s">
        <v>19</v>
      </c>
      <c r="J569">
        <v>5.98</v>
      </c>
      <c r="K569">
        <v>0</v>
      </c>
      <c r="L569" t="s">
        <v>20</v>
      </c>
      <c r="M569" t="str">
        <f t="shared" si="16"/>
        <v>On Time</v>
      </c>
      <c r="N569" t="str">
        <f t="shared" si="17"/>
        <v>Delhi → Mumbai</v>
      </c>
    </row>
    <row r="570" spans="1:14">
      <c r="A570" s="1">
        <v>45345</v>
      </c>
      <c r="B570" t="s">
        <v>38</v>
      </c>
      <c r="C570" t="s">
        <v>567</v>
      </c>
      <c r="D570" t="s">
        <v>23</v>
      </c>
      <c r="E570" t="s">
        <v>15</v>
      </c>
      <c r="F570" t="s">
        <v>24</v>
      </c>
      <c r="G570" t="s">
        <v>18</v>
      </c>
      <c r="H570" t="s">
        <v>24</v>
      </c>
      <c r="I570" t="s">
        <v>33</v>
      </c>
      <c r="J570">
        <v>9.52</v>
      </c>
      <c r="K570">
        <v>0</v>
      </c>
      <c r="L570" t="s">
        <v>20</v>
      </c>
      <c r="M570" t="str">
        <f t="shared" si="16"/>
        <v>On Time</v>
      </c>
      <c r="N570" t="str">
        <f t="shared" si="17"/>
        <v>Bangalore → Delhi</v>
      </c>
    </row>
    <row r="571" spans="1:14">
      <c r="A571" s="1">
        <v>45303</v>
      </c>
      <c r="B571" t="s">
        <v>29</v>
      </c>
      <c r="C571" t="s">
        <v>568</v>
      </c>
      <c r="D571" t="s">
        <v>15</v>
      </c>
      <c r="E571" t="s">
        <v>22</v>
      </c>
      <c r="F571" t="s">
        <v>28</v>
      </c>
      <c r="G571" t="s">
        <v>37</v>
      </c>
      <c r="H571" t="s">
        <v>17</v>
      </c>
      <c r="I571" t="s">
        <v>19</v>
      </c>
      <c r="J571">
        <v>3.23</v>
      </c>
      <c r="K571">
        <v>94</v>
      </c>
      <c r="L571" t="s">
        <v>34</v>
      </c>
      <c r="M571" t="str">
        <f t="shared" si="16"/>
        <v>Delayed</v>
      </c>
      <c r="N571" t="str">
        <f t="shared" si="17"/>
        <v>Delhi → Mumbai</v>
      </c>
    </row>
    <row r="572" spans="1:14">
      <c r="A572" s="1">
        <v>45351</v>
      </c>
      <c r="B572" t="s">
        <v>35</v>
      </c>
      <c r="C572" t="s">
        <v>569</v>
      </c>
      <c r="D572" t="s">
        <v>15</v>
      </c>
      <c r="E572" t="s">
        <v>23</v>
      </c>
      <c r="F572" t="s">
        <v>31</v>
      </c>
      <c r="G572" t="s">
        <v>37</v>
      </c>
      <c r="H572" t="s">
        <v>24</v>
      </c>
      <c r="I572" t="s">
        <v>19</v>
      </c>
      <c r="J572">
        <v>1.57</v>
      </c>
      <c r="K572">
        <v>7</v>
      </c>
      <c r="L572" t="s">
        <v>25</v>
      </c>
      <c r="M572" t="str">
        <f t="shared" si="16"/>
        <v>Delayed</v>
      </c>
      <c r="N572" t="str">
        <f t="shared" si="17"/>
        <v>Delhi → Bangalore</v>
      </c>
    </row>
    <row r="573" spans="1:14">
      <c r="A573" s="1">
        <v>45351</v>
      </c>
      <c r="B573" t="s">
        <v>13</v>
      </c>
      <c r="C573" t="s">
        <v>570</v>
      </c>
      <c r="D573" t="s">
        <v>40</v>
      </c>
      <c r="E573" t="s">
        <v>27</v>
      </c>
      <c r="F573" t="s">
        <v>28</v>
      </c>
      <c r="G573" t="s">
        <v>37</v>
      </c>
      <c r="H573" t="s">
        <v>32</v>
      </c>
      <c r="I573" t="s">
        <v>19</v>
      </c>
      <c r="J573">
        <v>8.2200000000000006</v>
      </c>
      <c r="K573">
        <v>0</v>
      </c>
      <c r="L573" t="s">
        <v>20</v>
      </c>
      <c r="M573" t="str">
        <f t="shared" si="16"/>
        <v>On Time</v>
      </c>
      <c r="N573" t="str">
        <f t="shared" si="17"/>
        <v>Kolkata → Hyderabad</v>
      </c>
    </row>
    <row r="574" spans="1:14">
      <c r="A574" s="1">
        <v>45320</v>
      </c>
      <c r="B574" t="s">
        <v>38</v>
      </c>
      <c r="C574" t="s">
        <v>571</v>
      </c>
      <c r="D574" t="s">
        <v>22</v>
      </c>
      <c r="E574" t="s">
        <v>23</v>
      </c>
      <c r="F574" t="s">
        <v>24</v>
      </c>
      <c r="G574" t="s">
        <v>18</v>
      </c>
      <c r="H574" t="s">
        <v>31</v>
      </c>
      <c r="I574" t="s">
        <v>33</v>
      </c>
      <c r="J574">
        <v>8.09</v>
      </c>
      <c r="K574">
        <v>0</v>
      </c>
      <c r="L574" t="s">
        <v>20</v>
      </c>
      <c r="M574" t="str">
        <f t="shared" si="16"/>
        <v>On Time</v>
      </c>
      <c r="N574" t="str">
        <f t="shared" si="17"/>
        <v>Mumbai → Bangalore</v>
      </c>
    </row>
    <row r="575" spans="1:14">
      <c r="A575" s="1">
        <v>45311</v>
      </c>
      <c r="B575" t="s">
        <v>29</v>
      </c>
      <c r="C575" t="s">
        <v>572</v>
      </c>
      <c r="D575" t="s">
        <v>16</v>
      </c>
      <c r="E575" t="s">
        <v>15</v>
      </c>
      <c r="F575" t="s">
        <v>24</v>
      </c>
      <c r="G575" t="s">
        <v>18</v>
      </c>
      <c r="H575" t="s">
        <v>17</v>
      </c>
      <c r="I575" t="s">
        <v>19</v>
      </c>
      <c r="J575">
        <v>8</v>
      </c>
      <c r="K575">
        <v>0</v>
      </c>
      <c r="L575" t="s">
        <v>20</v>
      </c>
      <c r="M575" t="str">
        <f t="shared" si="16"/>
        <v>On Time</v>
      </c>
      <c r="N575" t="str">
        <f t="shared" si="17"/>
        <v>Chennai → Delhi</v>
      </c>
    </row>
    <row r="576" spans="1:14">
      <c r="A576" s="1">
        <v>45340</v>
      </c>
      <c r="B576" t="s">
        <v>35</v>
      </c>
      <c r="C576" t="s">
        <v>573</v>
      </c>
      <c r="D576" t="s">
        <v>27</v>
      </c>
      <c r="E576" t="s">
        <v>22</v>
      </c>
      <c r="F576" t="s">
        <v>32</v>
      </c>
      <c r="G576" t="s">
        <v>37</v>
      </c>
      <c r="H576" t="s">
        <v>17</v>
      </c>
      <c r="I576" t="s">
        <v>19</v>
      </c>
      <c r="J576">
        <v>9.86</v>
      </c>
      <c r="K576">
        <v>0</v>
      </c>
      <c r="L576" t="s">
        <v>20</v>
      </c>
      <c r="M576" t="str">
        <f t="shared" si="16"/>
        <v>On Time</v>
      </c>
      <c r="N576" t="str">
        <f t="shared" si="17"/>
        <v>Hyderabad → Mumbai</v>
      </c>
    </row>
    <row r="577" spans="1:14">
      <c r="A577" s="1">
        <v>45346</v>
      </c>
      <c r="B577" t="s">
        <v>38</v>
      </c>
      <c r="C577" t="s">
        <v>574</v>
      </c>
      <c r="D577" t="s">
        <v>16</v>
      </c>
      <c r="E577" t="s">
        <v>22</v>
      </c>
      <c r="F577" t="s">
        <v>17</v>
      </c>
      <c r="G577" t="s">
        <v>18</v>
      </c>
      <c r="H577" t="s">
        <v>31</v>
      </c>
      <c r="I577" t="s">
        <v>33</v>
      </c>
      <c r="J577">
        <v>6.06</v>
      </c>
      <c r="K577">
        <v>0</v>
      </c>
      <c r="L577" t="s">
        <v>20</v>
      </c>
      <c r="M577" t="str">
        <f t="shared" si="16"/>
        <v>On Time</v>
      </c>
      <c r="N577" t="str">
        <f t="shared" si="17"/>
        <v>Chennai → Mumbai</v>
      </c>
    </row>
    <row r="578" spans="1:14">
      <c r="A578" s="1">
        <v>45331</v>
      </c>
      <c r="B578" t="s">
        <v>38</v>
      </c>
      <c r="C578" t="s">
        <v>575</v>
      </c>
      <c r="D578" t="s">
        <v>15</v>
      </c>
      <c r="E578" t="s">
        <v>22</v>
      </c>
      <c r="F578" t="s">
        <v>31</v>
      </c>
      <c r="G578" t="s">
        <v>18</v>
      </c>
      <c r="H578" t="s">
        <v>24</v>
      </c>
      <c r="I578" t="s">
        <v>19</v>
      </c>
      <c r="J578">
        <v>6.59</v>
      </c>
      <c r="K578">
        <v>0</v>
      </c>
      <c r="L578" t="s">
        <v>20</v>
      </c>
      <c r="M578" t="str">
        <f t="shared" ref="M578:M601" si="18">IF(K578=0,"On Time","Delayed")</f>
        <v>On Time</v>
      </c>
      <c r="N578" t="str">
        <f t="shared" ref="N578:N601" si="19">D578 &amp; " → " &amp; E578</f>
        <v>Delhi → Mumbai</v>
      </c>
    </row>
    <row r="579" spans="1:14">
      <c r="A579" s="1">
        <v>45296</v>
      </c>
      <c r="B579" t="s">
        <v>45</v>
      </c>
      <c r="C579" t="s">
        <v>576</v>
      </c>
      <c r="D579" t="s">
        <v>40</v>
      </c>
      <c r="E579" t="s">
        <v>16</v>
      </c>
      <c r="F579" t="s">
        <v>24</v>
      </c>
      <c r="G579" t="s">
        <v>37</v>
      </c>
      <c r="H579" t="s">
        <v>24</v>
      </c>
      <c r="I579" t="s">
        <v>33</v>
      </c>
      <c r="J579">
        <v>9.68</v>
      </c>
      <c r="K579">
        <v>30</v>
      </c>
      <c r="L579" t="s">
        <v>25</v>
      </c>
      <c r="M579" t="str">
        <f t="shared" si="18"/>
        <v>Delayed</v>
      </c>
      <c r="N579" t="str">
        <f t="shared" si="19"/>
        <v>Kolkata → Chennai</v>
      </c>
    </row>
    <row r="580" spans="1:14">
      <c r="A580" s="1">
        <v>45306</v>
      </c>
      <c r="B580" t="s">
        <v>13</v>
      </c>
      <c r="C580" t="s">
        <v>577</v>
      </c>
      <c r="D580" t="s">
        <v>22</v>
      </c>
      <c r="E580" t="s">
        <v>27</v>
      </c>
      <c r="F580" t="s">
        <v>17</v>
      </c>
      <c r="G580" t="s">
        <v>18</v>
      </c>
      <c r="H580" t="s">
        <v>32</v>
      </c>
      <c r="I580" t="s">
        <v>19</v>
      </c>
      <c r="J580">
        <v>10.85</v>
      </c>
      <c r="K580">
        <v>65</v>
      </c>
      <c r="L580" t="s">
        <v>25</v>
      </c>
      <c r="M580" t="str">
        <f t="shared" si="18"/>
        <v>Delayed</v>
      </c>
      <c r="N580" t="str">
        <f t="shared" si="19"/>
        <v>Mumbai → Hyderabad</v>
      </c>
    </row>
    <row r="581" spans="1:14">
      <c r="A581" s="1">
        <v>45305</v>
      </c>
      <c r="B581" t="s">
        <v>35</v>
      </c>
      <c r="C581" t="s">
        <v>254</v>
      </c>
      <c r="D581" t="s">
        <v>16</v>
      </c>
      <c r="E581" t="s">
        <v>22</v>
      </c>
      <c r="F581" t="s">
        <v>32</v>
      </c>
      <c r="G581" t="s">
        <v>18</v>
      </c>
      <c r="H581" t="s">
        <v>28</v>
      </c>
      <c r="I581" t="s">
        <v>33</v>
      </c>
      <c r="J581">
        <v>8.14</v>
      </c>
      <c r="K581">
        <v>0</v>
      </c>
      <c r="L581" t="s">
        <v>20</v>
      </c>
      <c r="M581" t="str">
        <f t="shared" si="18"/>
        <v>On Time</v>
      </c>
      <c r="N581" t="str">
        <f t="shared" si="19"/>
        <v>Chennai → Mumbai</v>
      </c>
    </row>
    <row r="582" spans="1:14">
      <c r="A582" s="1">
        <v>45304</v>
      </c>
      <c r="B582" t="s">
        <v>29</v>
      </c>
      <c r="C582" t="s">
        <v>578</v>
      </c>
      <c r="D582" t="s">
        <v>22</v>
      </c>
      <c r="E582" t="s">
        <v>15</v>
      </c>
      <c r="F582" t="s">
        <v>24</v>
      </c>
      <c r="G582" t="s">
        <v>37</v>
      </c>
      <c r="H582" t="s">
        <v>31</v>
      </c>
      <c r="I582" t="s">
        <v>19</v>
      </c>
      <c r="J582">
        <v>5.89</v>
      </c>
      <c r="K582">
        <v>19</v>
      </c>
      <c r="L582" t="s">
        <v>52</v>
      </c>
      <c r="M582" t="str">
        <f t="shared" si="18"/>
        <v>Delayed</v>
      </c>
      <c r="N582" t="str">
        <f t="shared" si="19"/>
        <v>Mumbai → Delhi</v>
      </c>
    </row>
    <row r="583" spans="1:14">
      <c r="A583" s="1">
        <v>45313</v>
      </c>
      <c r="B583" t="s">
        <v>45</v>
      </c>
      <c r="C583" t="s">
        <v>579</v>
      </c>
      <c r="D583" t="s">
        <v>23</v>
      </c>
      <c r="E583" t="s">
        <v>40</v>
      </c>
      <c r="F583" t="s">
        <v>17</v>
      </c>
      <c r="G583" t="s">
        <v>18</v>
      </c>
      <c r="H583" t="s">
        <v>24</v>
      </c>
      <c r="I583" t="s">
        <v>19</v>
      </c>
      <c r="J583">
        <v>6.64</v>
      </c>
      <c r="K583">
        <v>16</v>
      </c>
      <c r="L583" t="s">
        <v>34</v>
      </c>
      <c r="M583" t="str">
        <f t="shared" si="18"/>
        <v>Delayed</v>
      </c>
      <c r="N583" t="str">
        <f t="shared" si="19"/>
        <v>Bangalore → Kolkata</v>
      </c>
    </row>
    <row r="584" spans="1:14">
      <c r="A584" s="1">
        <v>45329</v>
      </c>
      <c r="B584" t="s">
        <v>38</v>
      </c>
      <c r="C584" t="s">
        <v>580</v>
      </c>
      <c r="D584" t="s">
        <v>16</v>
      </c>
      <c r="E584" t="s">
        <v>23</v>
      </c>
      <c r="F584" t="s">
        <v>31</v>
      </c>
      <c r="G584" t="s">
        <v>18</v>
      </c>
      <c r="H584" t="s">
        <v>32</v>
      </c>
      <c r="I584" t="s">
        <v>19</v>
      </c>
      <c r="J584">
        <v>3.84</v>
      </c>
      <c r="K584">
        <v>46</v>
      </c>
      <c r="L584" t="s">
        <v>34</v>
      </c>
      <c r="M584" t="str">
        <f t="shared" si="18"/>
        <v>Delayed</v>
      </c>
      <c r="N584" t="str">
        <f t="shared" si="19"/>
        <v>Chennai → Bangalore</v>
      </c>
    </row>
    <row r="585" spans="1:14">
      <c r="A585" s="1">
        <v>45352</v>
      </c>
      <c r="B585" t="s">
        <v>45</v>
      </c>
      <c r="C585" t="s">
        <v>581</v>
      </c>
      <c r="D585" t="s">
        <v>27</v>
      </c>
      <c r="E585" t="s">
        <v>15</v>
      </c>
      <c r="F585" t="s">
        <v>32</v>
      </c>
      <c r="G585" t="s">
        <v>18</v>
      </c>
      <c r="H585" t="s">
        <v>31</v>
      </c>
      <c r="I585" t="s">
        <v>33</v>
      </c>
      <c r="J585">
        <v>5.97</v>
      </c>
      <c r="K585">
        <v>0</v>
      </c>
      <c r="L585" t="s">
        <v>20</v>
      </c>
      <c r="M585" t="str">
        <f t="shared" si="18"/>
        <v>On Time</v>
      </c>
      <c r="N585" t="str">
        <f t="shared" si="19"/>
        <v>Hyderabad → Delhi</v>
      </c>
    </row>
    <row r="586" spans="1:14">
      <c r="A586" s="1">
        <v>45322</v>
      </c>
      <c r="B586" t="s">
        <v>13</v>
      </c>
      <c r="C586" t="s">
        <v>582</v>
      </c>
      <c r="D586" t="s">
        <v>16</v>
      </c>
      <c r="E586" t="s">
        <v>27</v>
      </c>
      <c r="F586" t="s">
        <v>17</v>
      </c>
      <c r="G586" t="s">
        <v>18</v>
      </c>
      <c r="H586" t="s">
        <v>31</v>
      </c>
      <c r="I586" t="s">
        <v>33</v>
      </c>
      <c r="J586">
        <v>5.26</v>
      </c>
      <c r="K586">
        <v>0</v>
      </c>
      <c r="L586" t="s">
        <v>20</v>
      </c>
      <c r="M586" t="str">
        <f t="shared" si="18"/>
        <v>On Time</v>
      </c>
      <c r="N586" t="str">
        <f t="shared" si="19"/>
        <v>Chennai → Hyderabad</v>
      </c>
    </row>
    <row r="587" spans="1:14">
      <c r="A587" s="1">
        <v>45333</v>
      </c>
      <c r="B587" t="s">
        <v>13</v>
      </c>
      <c r="C587" t="s">
        <v>583</v>
      </c>
      <c r="D587" t="s">
        <v>15</v>
      </c>
      <c r="E587" t="s">
        <v>27</v>
      </c>
      <c r="F587" t="s">
        <v>28</v>
      </c>
      <c r="G587" t="s">
        <v>37</v>
      </c>
      <c r="H587" t="s">
        <v>17</v>
      </c>
      <c r="I587" t="s">
        <v>19</v>
      </c>
      <c r="J587">
        <v>10.68</v>
      </c>
      <c r="K587">
        <v>63</v>
      </c>
      <c r="L587" t="s">
        <v>25</v>
      </c>
      <c r="M587" t="str">
        <f t="shared" si="18"/>
        <v>Delayed</v>
      </c>
      <c r="N587" t="str">
        <f t="shared" si="19"/>
        <v>Delhi → Hyderabad</v>
      </c>
    </row>
    <row r="588" spans="1:14">
      <c r="A588" s="1">
        <v>45303</v>
      </c>
      <c r="B588" t="s">
        <v>29</v>
      </c>
      <c r="C588" t="s">
        <v>584</v>
      </c>
      <c r="D588" t="s">
        <v>40</v>
      </c>
      <c r="E588" t="s">
        <v>16</v>
      </c>
      <c r="F588" t="s">
        <v>31</v>
      </c>
      <c r="G588" t="s">
        <v>37</v>
      </c>
      <c r="H588" t="s">
        <v>31</v>
      </c>
      <c r="I588" t="s">
        <v>33</v>
      </c>
      <c r="J588">
        <v>4.6100000000000003</v>
      </c>
      <c r="K588">
        <v>0</v>
      </c>
      <c r="L588" t="s">
        <v>20</v>
      </c>
      <c r="M588" t="str">
        <f t="shared" si="18"/>
        <v>On Time</v>
      </c>
      <c r="N588" t="str">
        <f t="shared" si="19"/>
        <v>Kolkata → Chennai</v>
      </c>
    </row>
    <row r="589" spans="1:14">
      <c r="A589" s="1">
        <v>45309</v>
      </c>
      <c r="B589" t="s">
        <v>35</v>
      </c>
      <c r="C589" t="s">
        <v>204</v>
      </c>
      <c r="D589" t="s">
        <v>27</v>
      </c>
      <c r="E589" t="s">
        <v>40</v>
      </c>
      <c r="F589" t="s">
        <v>17</v>
      </c>
      <c r="G589" t="s">
        <v>37</v>
      </c>
      <c r="H589" t="s">
        <v>31</v>
      </c>
      <c r="I589" t="s">
        <v>19</v>
      </c>
      <c r="J589">
        <v>2.67</v>
      </c>
      <c r="K589">
        <v>70</v>
      </c>
      <c r="L589" t="s">
        <v>25</v>
      </c>
      <c r="M589" t="str">
        <f t="shared" si="18"/>
        <v>Delayed</v>
      </c>
      <c r="N589" t="str">
        <f t="shared" si="19"/>
        <v>Hyderabad → Kolkata</v>
      </c>
    </row>
    <row r="590" spans="1:14">
      <c r="A590" s="1">
        <v>45321</v>
      </c>
      <c r="B590" t="s">
        <v>35</v>
      </c>
      <c r="C590" t="s">
        <v>323</v>
      </c>
      <c r="D590" t="s">
        <v>15</v>
      </c>
      <c r="E590" t="s">
        <v>16</v>
      </c>
      <c r="F590" t="s">
        <v>28</v>
      </c>
      <c r="G590" t="s">
        <v>18</v>
      </c>
      <c r="H590" t="s">
        <v>17</v>
      </c>
      <c r="I590" t="s">
        <v>19</v>
      </c>
      <c r="J590">
        <v>7.17</v>
      </c>
      <c r="K590">
        <v>22</v>
      </c>
      <c r="L590" t="s">
        <v>25</v>
      </c>
      <c r="M590" t="str">
        <f t="shared" si="18"/>
        <v>Delayed</v>
      </c>
      <c r="N590" t="str">
        <f t="shared" si="19"/>
        <v>Delhi → Chennai</v>
      </c>
    </row>
    <row r="591" spans="1:14">
      <c r="A591" s="1">
        <v>45322</v>
      </c>
      <c r="B591" t="s">
        <v>35</v>
      </c>
      <c r="C591" t="s">
        <v>585</v>
      </c>
      <c r="D591" t="s">
        <v>40</v>
      </c>
      <c r="E591" t="s">
        <v>22</v>
      </c>
      <c r="F591" t="s">
        <v>17</v>
      </c>
      <c r="G591" t="s">
        <v>37</v>
      </c>
      <c r="H591" t="s">
        <v>28</v>
      </c>
      <c r="I591" t="s">
        <v>33</v>
      </c>
      <c r="J591">
        <v>2.0699999999999998</v>
      </c>
      <c r="K591">
        <v>69</v>
      </c>
      <c r="L591" t="s">
        <v>52</v>
      </c>
      <c r="M591" t="str">
        <f t="shared" si="18"/>
        <v>Delayed</v>
      </c>
      <c r="N591" t="str">
        <f t="shared" si="19"/>
        <v>Kolkata → Mumbai</v>
      </c>
    </row>
    <row r="592" spans="1:14">
      <c r="A592" s="1">
        <v>45314</v>
      </c>
      <c r="B592" t="s">
        <v>38</v>
      </c>
      <c r="C592" t="s">
        <v>586</v>
      </c>
      <c r="D592" t="s">
        <v>16</v>
      </c>
      <c r="E592" t="s">
        <v>40</v>
      </c>
      <c r="F592" t="s">
        <v>24</v>
      </c>
      <c r="G592" t="s">
        <v>37</v>
      </c>
      <c r="H592" t="s">
        <v>31</v>
      </c>
      <c r="I592" t="s">
        <v>33</v>
      </c>
      <c r="J592">
        <v>11.43</v>
      </c>
      <c r="K592">
        <v>62</v>
      </c>
      <c r="L592" t="s">
        <v>34</v>
      </c>
      <c r="M592" t="str">
        <f t="shared" si="18"/>
        <v>Delayed</v>
      </c>
      <c r="N592" t="str">
        <f t="shared" si="19"/>
        <v>Chennai → Kolkata</v>
      </c>
    </row>
    <row r="593" spans="1:14">
      <c r="A593" s="1">
        <v>45352</v>
      </c>
      <c r="B593" t="s">
        <v>13</v>
      </c>
      <c r="C593" t="s">
        <v>587</v>
      </c>
      <c r="D593" t="s">
        <v>22</v>
      </c>
      <c r="E593" t="s">
        <v>27</v>
      </c>
      <c r="F593" t="s">
        <v>31</v>
      </c>
      <c r="G593" t="s">
        <v>37</v>
      </c>
      <c r="H593" t="s">
        <v>31</v>
      </c>
      <c r="I593" t="s">
        <v>19</v>
      </c>
      <c r="J593">
        <v>2.65</v>
      </c>
      <c r="K593">
        <v>0</v>
      </c>
      <c r="L593" t="s">
        <v>20</v>
      </c>
      <c r="M593" t="str">
        <f t="shared" si="18"/>
        <v>On Time</v>
      </c>
      <c r="N593" t="str">
        <f t="shared" si="19"/>
        <v>Mumbai → Hyderabad</v>
      </c>
    </row>
    <row r="594" spans="1:14">
      <c r="A594" s="1">
        <v>45299</v>
      </c>
      <c r="B594" t="s">
        <v>45</v>
      </c>
      <c r="C594" t="s">
        <v>588</v>
      </c>
      <c r="D594" t="s">
        <v>16</v>
      </c>
      <c r="E594" t="s">
        <v>22</v>
      </c>
      <c r="F594" t="s">
        <v>17</v>
      </c>
      <c r="G594" t="s">
        <v>18</v>
      </c>
      <c r="H594" t="s">
        <v>24</v>
      </c>
      <c r="I594" t="s">
        <v>33</v>
      </c>
      <c r="J594">
        <v>6.48</v>
      </c>
      <c r="K594">
        <v>0</v>
      </c>
      <c r="L594" t="s">
        <v>20</v>
      </c>
      <c r="M594" t="str">
        <f t="shared" si="18"/>
        <v>On Time</v>
      </c>
      <c r="N594" t="str">
        <f t="shared" si="19"/>
        <v>Chennai → Mumbai</v>
      </c>
    </row>
    <row r="595" spans="1:14">
      <c r="A595" s="1">
        <v>45320</v>
      </c>
      <c r="B595" t="s">
        <v>13</v>
      </c>
      <c r="C595" t="s">
        <v>589</v>
      </c>
      <c r="D595" t="s">
        <v>23</v>
      </c>
      <c r="E595" t="s">
        <v>22</v>
      </c>
      <c r="F595" t="s">
        <v>31</v>
      </c>
      <c r="G595" t="s">
        <v>18</v>
      </c>
      <c r="H595" t="s">
        <v>31</v>
      </c>
      <c r="I595" t="s">
        <v>33</v>
      </c>
      <c r="J595">
        <v>8.2799999999999994</v>
      </c>
      <c r="K595">
        <v>57</v>
      </c>
      <c r="L595" t="s">
        <v>34</v>
      </c>
      <c r="M595" t="str">
        <f t="shared" si="18"/>
        <v>Delayed</v>
      </c>
      <c r="N595" t="str">
        <f t="shared" si="19"/>
        <v>Bangalore → Mumbai</v>
      </c>
    </row>
    <row r="596" spans="1:14">
      <c r="A596" s="1">
        <v>45323</v>
      </c>
      <c r="B596" t="s">
        <v>35</v>
      </c>
      <c r="C596" t="s">
        <v>590</v>
      </c>
      <c r="D596" t="s">
        <v>40</v>
      </c>
      <c r="E596" t="s">
        <v>27</v>
      </c>
      <c r="F596" t="s">
        <v>24</v>
      </c>
      <c r="G596" t="s">
        <v>37</v>
      </c>
      <c r="H596" t="s">
        <v>32</v>
      </c>
      <c r="I596" t="s">
        <v>33</v>
      </c>
      <c r="J596">
        <v>10.93</v>
      </c>
      <c r="K596">
        <v>0</v>
      </c>
      <c r="L596" t="s">
        <v>20</v>
      </c>
      <c r="M596" t="str">
        <f t="shared" si="18"/>
        <v>On Time</v>
      </c>
      <c r="N596" t="str">
        <f t="shared" si="19"/>
        <v>Kolkata → Hyderabad</v>
      </c>
    </row>
    <row r="597" spans="1:14">
      <c r="A597" s="1">
        <v>45302</v>
      </c>
      <c r="B597" t="s">
        <v>29</v>
      </c>
      <c r="C597" t="s">
        <v>591</v>
      </c>
      <c r="D597" t="s">
        <v>22</v>
      </c>
      <c r="E597" t="s">
        <v>27</v>
      </c>
      <c r="F597" t="s">
        <v>28</v>
      </c>
      <c r="G597" t="s">
        <v>18</v>
      </c>
      <c r="H597" t="s">
        <v>28</v>
      </c>
      <c r="I597" t="s">
        <v>19</v>
      </c>
      <c r="J597">
        <v>11.54</v>
      </c>
      <c r="K597">
        <v>50</v>
      </c>
      <c r="L597" t="s">
        <v>52</v>
      </c>
      <c r="M597" t="str">
        <f t="shared" si="18"/>
        <v>Delayed</v>
      </c>
      <c r="N597" t="str">
        <f t="shared" si="19"/>
        <v>Mumbai → Hyderabad</v>
      </c>
    </row>
    <row r="598" spans="1:14">
      <c r="A598" s="1">
        <v>45351</v>
      </c>
      <c r="B598" t="s">
        <v>45</v>
      </c>
      <c r="C598" t="s">
        <v>592</v>
      </c>
      <c r="D598" t="s">
        <v>40</v>
      </c>
      <c r="E598" t="s">
        <v>27</v>
      </c>
      <c r="F598" t="s">
        <v>28</v>
      </c>
      <c r="G598" t="s">
        <v>18</v>
      </c>
      <c r="H598" t="s">
        <v>17</v>
      </c>
      <c r="I598" t="s">
        <v>19</v>
      </c>
      <c r="J598">
        <v>2.73</v>
      </c>
      <c r="K598">
        <v>0</v>
      </c>
      <c r="L598" t="s">
        <v>20</v>
      </c>
      <c r="M598" t="str">
        <f t="shared" si="18"/>
        <v>On Time</v>
      </c>
      <c r="N598" t="str">
        <f t="shared" si="19"/>
        <v>Kolkata → Hyderabad</v>
      </c>
    </row>
    <row r="599" spans="1:14">
      <c r="A599" s="1">
        <v>45328</v>
      </c>
      <c r="B599" t="s">
        <v>45</v>
      </c>
      <c r="C599" t="s">
        <v>593</v>
      </c>
      <c r="D599" t="s">
        <v>16</v>
      </c>
      <c r="E599" t="s">
        <v>23</v>
      </c>
      <c r="F599" t="s">
        <v>28</v>
      </c>
      <c r="G599" t="s">
        <v>18</v>
      </c>
      <c r="H599" t="s">
        <v>17</v>
      </c>
      <c r="I599" t="s">
        <v>19</v>
      </c>
      <c r="J599">
        <v>3.05</v>
      </c>
      <c r="K599">
        <v>90</v>
      </c>
      <c r="L599" t="s">
        <v>52</v>
      </c>
      <c r="M599" t="str">
        <f t="shared" si="18"/>
        <v>Delayed</v>
      </c>
      <c r="N599" t="str">
        <f t="shared" si="19"/>
        <v>Chennai → Bangalore</v>
      </c>
    </row>
    <row r="600" spans="1:14">
      <c r="A600" s="1">
        <v>45326</v>
      </c>
      <c r="B600" t="s">
        <v>45</v>
      </c>
      <c r="C600" t="s">
        <v>594</v>
      </c>
      <c r="D600" t="s">
        <v>27</v>
      </c>
      <c r="E600" t="s">
        <v>23</v>
      </c>
      <c r="F600" t="s">
        <v>31</v>
      </c>
      <c r="G600" t="s">
        <v>37</v>
      </c>
      <c r="H600" t="s">
        <v>31</v>
      </c>
      <c r="I600" t="s">
        <v>33</v>
      </c>
      <c r="J600">
        <v>11.45</v>
      </c>
      <c r="K600">
        <v>0</v>
      </c>
      <c r="L600" t="s">
        <v>20</v>
      </c>
      <c r="M600" t="str">
        <f t="shared" si="18"/>
        <v>On Time</v>
      </c>
      <c r="N600" t="str">
        <f t="shared" si="19"/>
        <v>Hyderabad → Bangalore</v>
      </c>
    </row>
    <row r="601" spans="1:14">
      <c r="A601" s="1">
        <v>45301</v>
      </c>
      <c r="B601" t="s">
        <v>13</v>
      </c>
      <c r="C601" t="s">
        <v>595</v>
      </c>
      <c r="D601" t="s">
        <v>40</v>
      </c>
      <c r="E601" t="s">
        <v>27</v>
      </c>
      <c r="F601" t="s">
        <v>24</v>
      </c>
      <c r="G601" t="s">
        <v>37</v>
      </c>
      <c r="H601" t="s">
        <v>28</v>
      </c>
      <c r="I601" t="s">
        <v>33</v>
      </c>
      <c r="J601">
        <v>8.5</v>
      </c>
      <c r="K601">
        <v>119</v>
      </c>
      <c r="L601" t="s">
        <v>34</v>
      </c>
      <c r="M601" t="str">
        <f t="shared" si="18"/>
        <v>Delayed</v>
      </c>
      <c r="N601" t="str">
        <f t="shared" si="19"/>
        <v>Kolkata → Hyderabad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DDCC-A5FE-4AFD-B3B3-F52BA5F30C21}">
  <dimension ref="A1:F2"/>
  <sheetViews>
    <sheetView workbookViewId="0">
      <selection activeCell="F1" activeCellId="1" sqref="F2 F1"/>
    </sheetView>
  </sheetViews>
  <sheetFormatPr defaultRowHeight="14.4"/>
  <cols>
    <col min="1" max="1" width="13.6640625" customWidth="1"/>
    <col min="3" max="3" width="24" customWidth="1"/>
  </cols>
  <sheetData>
    <row r="1" spans="1:6" ht="28.8">
      <c r="A1" s="2" t="s">
        <v>597</v>
      </c>
      <c r="B1" s="2" t="s">
        <v>598</v>
      </c>
      <c r="C1" s="2" t="s">
        <v>599</v>
      </c>
      <c r="D1" s="2" t="s">
        <v>600</v>
      </c>
      <c r="E1" s="2" t="s">
        <v>601</v>
      </c>
      <c r="F1" s="2"/>
    </row>
    <row r="2" spans="1:6">
      <c r="A2" s="3">
        <f>COUNTA(data!C:C)</f>
        <v>601</v>
      </c>
      <c r="B2" s="3">
        <f>AVERAGE(data!K:K)</f>
        <v>33.366666666666667</v>
      </c>
      <c r="C2" s="2">
        <f>COUNTIF(data!M:M, "On Time")</f>
        <v>295</v>
      </c>
      <c r="D2" s="2">
        <f>COUNTIF(data!M:M, "Delayed")</f>
        <v>305</v>
      </c>
      <c r="E2" s="3">
        <f>COUNTIF(data!M:M, "On Time")</f>
        <v>295</v>
      </c>
      <c r="F2"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BABE-99D5-4884-92BE-2C9AD27DAEA1}">
  <dimension ref="A1:I32"/>
  <sheetViews>
    <sheetView topLeftCell="I4" zoomScale="85" zoomScaleNormal="85" workbookViewId="0">
      <selection activeCell="O57" sqref="O57"/>
    </sheetView>
  </sheetViews>
  <sheetFormatPr defaultRowHeight="14.4"/>
  <cols>
    <col min="1" max="1" width="13.44140625" bestFit="1" customWidth="1"/>
    <col min="2" max="2" width="22.88671875" bestFit="1" customWidth="1"/>
    <col min="3" max="3" width="13.44140625" bestFit="1" customWidth="1"/>
    <col min="4" max="4" width="22.88671875" bestFit="1" customWidth="1"/>
    <col min="5" max="5" width="21.77734375" bestFit="1" customWidth="1"/>
    <col min="6" max="6" width="22.88671875" bestFit="1" customWidth="1"/>
    <col min="8" max="8" width="13.44140625" bestFit="1" customWidth="1"/>
    <col min="9" max="9" width="22.88671875" bestFit="1" customWidth="1"/>
  </cols>
  <sheetData>
    <row r="1" spans="1:9">
      <c r="A1" s="5" t="s">
        <v>602</v>
      </c>
      <c r="B1" t="s">
        <v>604</v>
      </c>
      <c r="C1" s="5" t="s">
        <v>602</v>
      </c>
      <c r="D1" t="s">
        <v>604</v>
      </c>
      <c r="E1" s="5" t="s">
        <v>602</v>
      </c>
      <c r="F1" t="s">
        <v>604</v>
      </c>
      <c r="H1" s="5" t="s">
        <v>602</v>
      </c>
      <c r="I1" t="s">
        <v>637</v>
      </c>
    </row>
    <row r="2" spans="1:9">
      <c r="A2" s="6" t="s">
        <v>45</v>
      </c>
      <c r="B2">
        <v>53</v>
      </c>
      <c r="C2" s="6" t="s">
        <v>605</v>
      </c>
      <c r="D2">
        <v>305</v>
      </c>
      <c r="E2" s="6" t="s">
        <v>635</v>
      </c>
      <c r="F2">
        <v>17</v>
      </c>
      <c r="H2" s="6" t="s">
        <v>45</v>
      </c>
      <c r="I2">
        <v>59.962264150943398</v>
      </c>
    </row>
    <row r="3" spans="1:9">
      <c r="A3" s="6" t="s">
        <v>35</v>
      </c>
      <c r="B3">
        <v>65</v>
      </c>
      <c r="C3" s="6" t="s">
        <v>606</v>
      </c>
      <c r="D3">
        <v>295</v>
      </c>
      <c r="E3" s="6" t="s">
        <v>625</v>
      </c>
      <c r="F3">
        <v>16</v>
      </c>
      <c r="H3" s="6" t="s">
        <v>35</v>
      </c>
      <c r="I3">
        <v>60.892307692307689</v>
      </c>
    </row>
    <row r="4" spans="1:9">
      <c r="A4" s="6" t="s">
        <v>13</v>
      </c>
      <c r="B4">
        <v>60</v>
      </c>
      <c r="C4" s="6" t="s">
        <v>603</v>
      </c>
      <c r="D4">
        <v>600</v>
      </c>
      <c r="E4" s="6" t="s">
        <v>612</v>
      </c>
      <c r="F4">
        <v>14</v>
      </c>
      <c r="H4" s="6" t="s">
        <v>13</v>
      </c>
      <c r="I4">
        <v>81.783333333333331</v>
      </c>
    </row>
    <row r="5" spans="1:9">
      <c r="A5" s="6" t="s">
        <v>29</v>
      </c>
      <c r="B5">
        <v>61</v>
      </c>
      <c r="E5" s="6" t="s">
        <v>628</v>
      </c>
      <c r="F5">
        <v>14</v>
      </c>
      <c r="H5" s="6" t="s">
        <v>29</v>
      </c>
      <c r="I5">
        <v>57.098360655737707</v>
      </c>
    </row>
    <row r="6" spans="1:9">
      <c r="A6" s="6" t="s">
        <v>38</v>
      </c>
      <c r="B6">
        <v>66</v>
      </c>
      <c r="E6" s="6" t="s">
        <v>610</v>
      </c>
      <c r="F6">
        <v>14</v>
      </c>
      <c r="H6" s="6" t="s">
        <v>38</v>
      </c>
      <c r="I6">
        <v>68.090909090909093</v>
      </c>
    </row>
    <row r="7" spans="1:9">
      <c r="A7" s="6" t="s">
        <v>603</v>
      </c>
      <c r="B7">
        <v>305</v>
      </c>
      <c r="E7" s="6" t="s">
        <v>609</v>
      </c>
      <c r="F7">
        <v>14</v>
      </c>
      <c r="H7" s="6" t="s">
        <v>603</v>
      </c>
      <c r="I7">
        <v>65.639344262295083</v>
      </c>
    </row>
    <row r="8" spans="1:9">
      <c r="E8" s="6" t="s">
        <v>618</v>
      </c>
      <c r="F8">
        <v>13</v>
      </c>
    </row>
    <row r="9" spans="1:9">
      <c r="E9" s="6" t="s">
        <v>622</v>
      </c>
      <c r="F9">
        <v>13</v>
      </c>
    </row>
    <row r="10" spans="1:9">
      <c r="E10" s="6" t="s">
        <v>608</v>
      </c>
      <c r="F10">
        <v>12</v>
      </c>
      <c r="H10" s="5" t="s">
        <v>602</v>
      </c>
      <c r="I10" t="s">
        <v>604</v>
      </c>
    </row>
    <row r="11" spans="1:9">
      <c r="E11" s="6" t="s">
        <v>626</v>
      </c>
      <c r="F11">
        <v>12</v>
      </c>
      <c r="H11" s="6" t="s">
        <v>28</v>
      </c>
      <c r="I11">
        <v>129</v>
      </c>
    </row>
    <row r="12" spans="1:9">
      <c r="E12" s="6" t="s">
        <v>616</v>
      </c>
      <c r="F12">
        <v>11</v>
      </c>
      <c r="H12" s="6" t="s">
        <v>31</v>
      </c>
      <c r="I12">
        <v>116</v>
      </c>
    </row>
    <row r="13" spans="1:9">
      <c r="E13" s="6" t="s">
        <v>613</v>
      </c>
      <c r="F13">
        <v>11</v>
      </c>
      <c r="H13" s="6" t="s">
        <v>32</v>
      </c>
      <c r="I13">
        <v>112</v>
      </c>
    </row>
    <row r="14" spans="1:9">
      <c r="E14" s="6" t="s">
        <v>620</v>
      </c>
      <c r="F14">
        <v>11</v>
      </c>
      <c r="H14" s="6" t="s">
        <v>17</v>
      </c>
      <c r="I14">
        <v>114</v>
      </c>
    </row>
    <row r="15" spans="1:9">
      <c r="E15" s="6" t="s">
        <v>623</v>
      </c>
      <c r="F15">
        <v>10</v>
      </c>
      <c r="H15" s="6" t="s">
        <v>24</v>
      </c>
      <c r="I15">
        <v>129</v>
      </c>
    </row>
    <row r="16" spans="1:9">
      <c r="E16" s="6" t="s">
        <v>627</v>
      </c>
      <c r="F16">
        <v>10</v>
      </c>
      <c r="H16" s="6" t="s">
        <v>603</v>
      </c>
      <c r="I16">
        <v>600</v>
      </c>
    </row>
    <row r="17" spans="5:6">
      <c r="E17" s="6" t="s">
        <v>630</v>
      </c>
      <c r="F17">
        <v>10</v>
      </c>
    </row>
    <row r="18" spans="5:6">
      <c r="E18" s="6" t="s">
        <v>634</v>
      </c>
      <c r="F18">
        <v>10</v>
      </c>
    </row>
    <row r="19" spans="5:6">
      <c r="E19" s="6" t="s">
        <v>607</v>
      </c>
      <c r="F19">
        <v>10</v>
      </c>
    </row>
    <row r="20" spans="5:6">
      <c r="E20" s="6" t="s">
        <v>636</v>
      </c>
      <c r="F20">
        <v>9</v>
      </c>
    </row>
    <row r="21" spans="5:6">
      <c r="E21" s="6" t="s">
        <v>617</v>
      </c>
      <c r="F21">
        <v>9</v>
      </c>
    </row>
    <row r="22" spans="5:6">
      <c r="E22" s="6" t="s">
        <v>614</v>
      </c>
      <c r="F22">
        <v>8</v>
      </c>
    </row>
    <row r="23" spans="5:6">
      <c r="E23" s="6" t="s">
        <v>633</v>
      </c>
      <c r="F23">
        <v>8</v>
      </c>
    </row>
    <row r="24" spans="5:6">
      <c r="E24" s="6" t="s">
        <v>631</v>
      </c>
      <c r="F24">
        <v>8</v>
      </c>
    </row>
    <row r="25" spans="5:6">
      <c r="E25" s="6" t="s">
        <v>615</v>
      </c>
      <c r="F25">
        <v>8</v>
      </c>
    </row>
    <row r="26" spans="5:6">
      <c r="E26" s="6" t="s">
        <v>629</v>
      </c>
      <c r="F26">
        <v>7</v>
      </c>
    </row>
    <row r="27" spans="5:6">
      <c r="E27" s="6" t="s">
        <v>632</v>
      </c>
      <c r="F27">
        <v>7</v>
      </c>
    </row>
    <row r="28" spans="5:6">
      <c r="E28" s="6" t="s">
        <v>619</v>
      </c>
      <c r="F28">
        <v>6</v>
      </c>
    </row>
    <row r="29" spans="5:6">
      <c r="E29" s="6" t="s">
        <v>611</v>
      </c>
      <c r="F29">
        <v>5</v>
      </c>
    </row>
    <row r="30" spans="5:6">
      <c r="E30" s="6" t="s">
        <v>624</v>
      </c>
      <c r="F30">
        <v>4</v>
      </c>
    </row>
    <row r="31" spans="5:6">
      <c r="E31" s="6" t="s">
        <v>621</v>
      </c>
      <c r="F31">
        <v>4</v>
      </c>
    </row>
    <row r="32" spans="5:6">
      <c r="E32" s="6" t="s">
        <v>603</v>
      </c>
      <c r="F32">
        <v>305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9369C-8A94-47F4-8699-F9E480FAE1E3}">
  <dimension ref="I6"/>
  <sheetViews>
    <sheetView tabSelected="1" topLeftCell="A31" zoomScale="70" zoomScaleNormal="70" workbookViewId="0">
      <selection activeCell="Q69" sqref="Q69"/>
    </sheetView>
  </sheetViews>
  <sheetFormatPr defaultRowHeight="14.4"/>
  <sheetData>
    <row r="6" spans="9:9" ht="31.2">
      <c r="I6" s="7" t="s">
        <v>638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KPIs</vt:lpstr>
      <vt:lpstr>Pivot</vt:lpstr>
      <vt:lpstr>Flight  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Bhagat</cp:lastModifiedBy>
  <dcterms:created xsi:type="dcterms:W3CDTF">2026-03-28T07:56:09Z</dcterms:created>
  <dcterms:modified xsi:type="dcterms:W3CDTF">2026-03-28T12:42:15Z</dcterms:modified>
</cp:coreProperties>
</file>